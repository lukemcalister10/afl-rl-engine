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zings-my.sharepoint.com/personal/lukem_zings_biz/Documents/Documents/"/>
    </mc:Choice>
  </mc:AlternateContent>
  <xr:revisionPtr revIDLastSave="0" documentId="8_{AE796BDF-CC7C-4524-841B-2367BF28295E}" xr6:coauthVersionLast="47" xr6:coauthVersionMax="47" xr10:uidLastSave="{00000000-0000-0000-0000-000000000000}"/>
  <bookViews>
    <workbookView xWindow="-108" yWindow="-108" windowWidth="23256" windowHeight="12456" xr2:uid="{EA95AF19-77CE-4154-A1D4-72875084D09E}"/>
  </bookViews>
  <sheets>
    <sheet name="Dashboard" sheetId="1" r:id="rId1"/>
    <sheet name="Picks" sheetId="2" r:id="rId2"/>
    <sheet name="Ladder" sheetId="3" r:id="rId3"/>
    <sheet name="Pick Values" sheetId="4" r:id="rId4"/>
  </sheets>
  <definedNames>
    <definedName name="_xlnm._FilterDatabase" localSheetId="1" hidden="1">Picks!$A$2:$J$162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9" i="3" l="1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24" i="3" s="1"/>
  <c r="I10" i="3"/>
  <c r="I23" i="3" s="1"/>
  <c r="J9" i="3"/>
  <c r="I9" i="3"/>
  <c r="J8" i="3"/>
  <c r="I8" i="3"/>
  <c r="J7" i="3"/>
  <c r="I7" i="3"/>
  <c r="J6" i="3"/>
  <c r="I6" i="3"/>
  <c r="G162" i="2"/>
  <c r="H162" i="2" s="1"/>
  <c r="F162" i="2"/>
  <c r="I162" i="2" s="1"/>
  <c r="J162" i="2" s="1"/>
  <c r="G161" i="2"/>
  <c r="F161" i="2"/>
  <c r="I161" i="2" s="1"/>
  <c r="J161" i="2" s="1"/>
  <c r="H160" i="2"/>
  <c r="G160" i="2"/>
  <c r="F160" i="2"/>
  <c r="I160" i="2" s="1"/>
  <c r="J160" i="2" s="1"/>
  <c r="H159" i="2"/>
  <c r="G159" i="2"/>
  <c r="F159" i="2"/>
  <c r="I159" i="2" s="1"/>
  <c r="J159" i="2" s="1"/>
  <c r="G158" i="2"/>
  <c r="F158" i="2"/>
  <c r="I158" i="2" s="1"/>
  <c r="J158" i="2" s="1"/>
  <c r="H157" i="2"/>
  <c r="G157" i="2"/>
  <c r="F157" i="2"/>
  <c r="I157" i="2" s="1"/>
  <c r="J157" i="2" s="1"/>
  <c r="G156" i="2"/>
  <c r="F156" i="2"/>
  <c r="I156" i="2" s="1"/>
  <c r="J156" i="2" s="1"/>
  <c r="I155" i="2"/>
  <c r="J155" i="2" s="1"/>
  <c r="G155" i="2"/>
  <c r="F155" i="2"/>
  <c r="H155" i="2" s="1"/>
  <c r="G154" i="2"/>
  <c r="F154" i="2"/>
  <c r="I154" i="2" s="1"/>
  <c r="J154" i="2" s="1"/>
  <c r="G153" i="2"/>
  <c r="I153" i="2" s="1"/>
  <c r="J153" i="2" s="1"/>
  <c r="F153" i="2"/>
  <c r="H153" i="2" s="1"/>
  <c r="I152" i="2"/>
  <c r="J152" i="2" s="1"/>
  <c r="E20" i="1" s="1"/>
  <c r="G152" i="2"/>
  <c r="H152" i="2" s="1"/>
  <c r="F152" i="2"/>
  <c r="G151" i="2"/>
  <c r="I151" i="2" s="1"/>
  <c r="J151" i="2" s="1"/>
  <c r="F151" i="2"/>
  <c r="G150" i="2"/>
  <c r="I150" i="2" s="1"/>
  <c r="J150" i="2" s="1"/>
  <c r="F150" i="2"/>
  <c r="G149" i="2"/>
  <c r="H149" i="2" s="1"/>
  <c r="F149" i="2"/>
  <c r="I149" i="2" s="1"/>
  <c r="J149" i="2" s="1"/>
  <c r="G148" i="2"/>
  <c r="F148" i="2"/>
  <c r="I148" i="2" s="1"/>
  <c r="J148" i="2" s="1"/>
  <c r="G147" i="2"/>
  <c r="F147" i="2"/>
  <c r="I147" i="2" s="1"/>
  <c r="J147" i="2" s="1"/>
  <c r="G146" i="2"/>
  <c r="F146" i="2"/>
  <c r="I146" i="2" s="1"/>
  <c r="J146" i="2" s="1"/>
  <c r="I145" i="2"/>
  <c r="J145" i="2" s="1"/>
  <c r="H145" i="2"/>
  <c r="G145" i="2"/>
  <c r="F145" i="2"/>
  <c r="G144" i="2"/>
  <c r="F144" i="2"/>
  <c r="I144" i="2" s="1"/>
  <c r="J144" i="2" s="1"/>
  <c r="G143" i="2"/>
  <c r="F143" i="2"/>
  <c r="H143" i="2" s="1"/>
  <c r="G142" i="2"/>
  <c r="F142" i="2"/>
  <c r="I142" i="2" s="1"/>
  <c r="J142" i="2" s="1"/>
  <c r="G141" i="2"/>
  <c r="I141" i="2" s="1"/>
  <c r="J141" i="2" s="1"/>
  <c r="F141" i="2"/>
  <c r="H141" i="2" s="1"/>
  <c r="I140" i="2"/>
  <c r="J140" i="2" s="1"/>
  <c r="H140" i="2"/>
  <c r="G140" i="2"/>
  <c r="F140" i="2"/>
  <c r="G139" i="2"/>
  <c r="I139" i="2" s="1"/>
  <c r="J139" i="2" s="1"/>
  <c r="F139" i="2"/>
  <c r="G138" i="2"/>
  <c r="H138" i="2" s="1"/>
  <c r="F138" i="2"/>
  <c r="I138" i="2" s="1"/>
  <c r="J138" i="2" s="1"/>
  <c r="G137" i="2"/>
  <c r="H137" i="2" s="1"/>
  <c r="F137" i="2"/>
  <c r="I137" i="2" s="1"/>
  <c r="J137" i="2" s="1"/>
  <c r="G136" i="2"/>
  <c r="F136" i="2"/>
  <c r="I136" i="2" s="1"/>
  <c r="J136" i="2" s="1"/>
  <c r="G135" i="2"/>
  <c r="F135" i="2"/>
  <c r="I135" i="2" s="1"/>
  <c r="J135" i="2" s="1"/>
  <c r="G134" i="2"/>
  <c r="F134" i="2"/>
  <c r="I134" i="2" s="1"/>
  <c r="J134" i="2" s="1"/>
  <c r="I133" i="2"/>
  <c r="J133" i="2" s="1"/>
  <c r="H133" i="2"/>
  <c r="G133" i="2"/>
  <c r="F133" i="2"/>
  <c r="G132" i="2"/>
  <c r="F132" i="2"/>
  <c r="I132" i="2" s="1"/>
  <c r="J132" i="2" s="1"/>
  <c r="G131" i="2"/>
  <c r="F131" i="2"/>
  <c r="H131" i="2" s="1"/>
  <c r="G130" i="2"/>
  <c r="F130" i="2"/>
  <c r="I130" i="2" s="1"/>
  <c r="J130" i="2" s="1"/>
  <c r="G129" i="2"/>
  <c r="I129" i="2" s="1"/>
  <c r="J129" i="2" s="1"/>
  <c r="F129" i="2"/>
  <c r="I128" i="2"/>
  <c r="J128" i="2" s="1"/>
  <c r="G128" i="2"/>
  <c r="F128" i="2"/>
  <c r="H128" i="2" s="1"/>
  <c r="G127" i="2"/>
  <c r="I127" i="2" s="1"/>
  <c r="J127" i="2" s="1"/>
  <c r="F127" i="2"/>
  <c r="G126" i="2"/>
  <c r="H126" i="2" s="1"/>
  <c r="F126" i="2"/>
  <c r="I126" i="2" s="1"/>
  <c r="J126" i="2" s="1"/>
  <c r="G125" i="2"/>
  <c r="F125" i="2"/>
  <c r="I125" i="2" s="1"/>
  <c r="J125" i="2" s="1"/>
  <c r="G124" i="2"/>
  <c r="F124" i="2"/>
  <c r="I124" i="2" s="1"/>
  <c r="J124" i="2" s="1"/>
  <c r="G123" i="2"/>
  <c r="F123" i="2"/>
  <c r="I123" i="2" s="1"/>
  <c r="J123" i="2" s="1"/>
  <c r="G122" i="2"/>
  <c r="F122" i="2"/>
  <c r="I122" i="2" s="1"/>
  <c r="J122" i="2" s="1"/>
  <c r="I121" i="2"/>
  <c r="J121" i="2" s="1"/>
  <c r="H121" i="2"/>
  <c r="G121" i="2"/>
  <c r="F121" i="2"/>
  <c r="G120" i="2"/>
  <c r="F120" i="2"/>
  <c r="I120" i="2" s="1"/>
  <c r="J120" i="2" s="1"/>
  <c r="G119" i="2"/>
  <c r="F119" i="2"/>
  <c r="H119" i="2" s="1"/>
  <c r="G118" i="2"/>
  <c r="F118" i="2"/>
  <c r="I118" i="2" s="1"/>
  <c r="J118" i="2" s="1"/>
  <c r="E17" i="1" s="1"/>
  <c r="G117" i="2"/>
  <c r="I117" i="2" s="1"/>
  <c r="J117" i="2" s="1"/>
  <c r="F117" i="2"/>
  <c r="H117" i="2" s="1"/>
  <c r="I116" i="2"/>
  <c r="J116" i="2" s="1"/>
  <c r="G116" i="2"/>
  <c r="F116" i="2"/>
  <c r="H116" i="2" s="1"/>
  <c r="G115" i="2"/>
  <c r="I115" i="2" s="1"/>
  <c r="J115" i="2" s="1"/>
  <c r="F115" i="2"/>
  <c r="G114" i="2"/>
  <c r="H114" i="2" s="1"/>
  <c r="F114" i="2"/>
  <c r="I114" i="2" s="1"/>
  <c r="J114" i="2" s="1"/>
  <c r="G113" i="2"/>
  <c r="F113" i="2"/>
  <c r="I113" i="2" s="1"/>
  <c r="J113" i="2" s="1"/>
  <c r="G112" i="2"/>
  <c r="F112" i="2"/>
  <c r="I112" i="2" s="1"/>
  <c r="J112" i="2" s="1"/>
  <c r="G111" i="2"/>
  <c r="F111" i="2"/>
  <c r="I111" i="2" s="1"/>
  <c r="J111" i="2" s="1"/>
  <c r="G110" i="2"/>
  <c r="F110" i="2"/>
  <c r="I110" i="2" s="1"/>
  <c r="J110" i="2" s="1"/>
  <c r="E16" i="1" s="1"/>
  <c r="I109" i="2"/>
  <c r="J109" i="2" s="1"/>
  <c r="H109" i="2"/>
  <c r="G109" i="2"/>
  <c r="F109" i="2"/>
  <c r="G108" i="2"/>
  <c r="F108" i="2"/>
  <c r="I108" i="2" s="1"/>
  <c r="J108" i="2" s="1"/>
  <c r="G107" i="2"/>
  <c r="F107" i="2"/>
  <c r="H107" i="2" s="1"/>
  <c r="G106" i="2"/>
  <c r="F106" i="2"/>
  <c r="I106" i="2" s="1"/>
  <c r="J106" i="2" s="1"/>
  <c r="G105" i="2"/>
  <c r="I105" i="2" s="1"/>
  <c r="J105" i="2" s="1"/>
  <c r="F105" i="2"/>
  <c r="H105" i="2" s="1"/>
  <c r="I104" i="2"/>
  <c r="J104" i="2" s="1"/>
  <c r="G104" i="2"/>
  <c r="F104" i="2"/>
  <c r="H104" i="2" s="1"/>
  <c r="G103" i="2"/>
  <c r="I103" i="2" s="1"/>
  <c r="J103" i="2" s="1"/>
  <c r="F103" i="2"/>
  <c r="G102" i="2"/>
  <c r="H102" i="2" s="1"/>
  <c r="F102" i="2"/>
  <c r="I102" i="2" s="1"/>
  <c r="J102" i="2" s="1"/>
  <c r="G101" i="2"/>
  <c r="F101" i="2"/>
  <c r="I101" i="2" s="1"/>
  <c r="J101" i="2" s="1"/>
  <c r="G100" i="2"/>
  <c r="F100" i="2"/>
  <c r="I100" i="2" s="1"/>
  <c r="J100" i="2" s="1"/>
  <c r="G99" i="2"/>
  <c r="F99" i="2"/>
  <c r="I99" i="2" s="1"/>
  <c r="J99" i="2" s="1"/>
  <c r="G98" i="2"/>
  <c r="F98" i="2"/>
  <c r="I98" i="2" s="1"/>
  <c r="J98" i="2" s="1"/>
  <c r="I97" i="2"/>
  <c r="J97" i="2" s="1"/>
  <c r="H97" i="2"/>
  <c r="G97" i="2"/>
  <c r="F97" i="2"/>
  <c r="G96" i="2"/>
  <c r="F96" i="2"/>
  <c r="I96" i="2" s="1"/>
  <c r="J96" i="2" s="1"/>
  <c r="G95" i="2"/>
  <c r="F95" i="2"/>
  <c r="H95" i="2" s="1"/>
  <c r="G94" i="2"/>
  <c r="F94" i="2"/>
  <c r="I94" i="2" s="1"/>
  <c r="J94" i="2" s="1"/>
  <c r="G93" i="2"/>
  <c r="I93" i="2" s="1"/>
  <c r="J93" i="2" s="1"/>
  <c r="F93" i="2"/>
  <c r="H93" i="2" s="1"/>
  <c r="I92" i="2"/>
  <c r="J92" i="2" s="1"/>
  <c r="G92" i="2"/>
  <c r="F92" i="2"/>
  <c r="H92" i="2" s="1"/>
  <c r="G91" i="2"/>
  <c r="I91" i="2" s="1"/>
  <c r="J91" i="2" s="1"/>
  <c r="F91" i="2"/>
  <c r="G90" i="2"/>
  <c r="H90" i="2" s="1"/>
  <c r="F90" i="2"/>
  <c r="I90" i="2" s="1"/>
  <c r="J90" i="2" s="1"/>
  <c r="G89" i="2"/>
  <c r="F89" i="2"/>
  <c r="I89" i="2" s="1"/>
  <c r="J89" i="2" s="1"/>
  <c r="G88" i="2"/>
  <c r="F88" i="2"/>
  <c r="I88" i="2" s="1"/>
  <c r="J88" i="2" s="1"/>
  <c r="G87" i="2"/>
  <c r="F87" i="2"/>
  <c r="I87" i="2" s="1"/>
  <c r="J87" i="2" s="1"/>
  <c r="G86" i="2"/>
  <c r="F86" i="2"/>
  <c r="I86" i="2" s="1"/>
  <c r="J86" i="2" s="1"/>
  <c r="I85" i="2"/>
  <c r="J85" i="2" s="1"/>
  <c r="H85" i="2"/>
  <c r="G85" i="2"/>
  <c r="F85" i="2"/>
  <c r="G84" i="2"/>
  <c r="F84" i="2"/>
  <c r="I84" i="2" s="1"/>
  <c r="J84" i="2" s="1"/>
  <c r="G83" i="2"/>
  <c r="F83" i="2"/>
  <c r="H83" i="2" s="1"/>
  <c r="G82" i="2"/>
  <c r="F82" i="2"/>
  <c r="I82" i="2" s="1"/>
  <c r="J82" i="2" s="1"/>
  <c r="G81" i="2"/>
  <c r="I81" i="2" s="1"/>
  <c r="J81" i="2" s="1"/>
  <c r="F81" i="2"/>
  <c r="H81" i="2" s="1"/>
  <c r="I80" i="2"/>
  <c r="J80" i="2" s="1"/>
  <c r="G80" i="2"/>
  <c r="F80" i="2"/>
  <c r="H80" i="2" s="1"/>
  <c r="G79" i="2"/>
  <c r="I79" i="2" s="1"/>
  <c r="J79" i="2" s="1"/>
  <c r="F79" i="2"/>
  <c r="G78" i="2"/>
  <c r="H78" i="2" s="1"/>
  <c r="F78" i="2"/>
  <c r="I78" i="2" s="1"/>
  <c r="J78" i="2" s="1"/>
  <c r="G77" i="2"/>
  <c r="F77" i="2"/>
  <c r="I77" i="2" s="1"/>
  <c r="J77" i="2" s="1"/>
  <c r="G76" i="2"/>
  <c r="F76" i="2"/>
  <c r="I76" i="2" s="1"/>
  <c r="J76" i="2" s="1"/>
  <c r="G75" i="2"/>
  <c r="F75" i="2"/>
  <c r="I75" i="2" s="1"/>
  <c r="J75" i="2" s="1"/>
  <c r="G74" i="2"/>
  <c r="F74" i="2"/>
  <c r="I74" i="2" s="1"/>
  <c r="J74" i="2" s="1"/>
  <c r="I73" i="2"/>
  <c r="J73" i="2" s="1"/>
  <c r="H73" i="2"/>
  <c r="G73" i="2"/>
  <c r="F73" i="2"/>
  <c r="G72" i="2"/>
  <c r="F72" i="2"/>
  <c r="I72" i="2" s="1"/>
  <c r="J72" i="2" s="1"/>
  <c r="G71" i="2"/>
  <c r="F71" i="2"/>
  <c r="H71" i="2" s="1"/>
  <c r="G70" i="2"/>
  <c r="F70" i="2"/>
  <c r="I70" i="2" s="1"/>
  <c r="J70" i="2" s="1"/>
  <c r="G69" i="2"/>
  <c r="I69" i="2" s="1"/>
  <c r="J69" i="2" s="1"/>
  <c r="F69" i="2"/>
  <c r="H69" i="2" s="1"/>
  <c r="I68" i="2"/>
  <c r="J68" i="2" s="1"/>
  <c r="G68" i="2"/>
  <c r="F68" i="2"/>
  <c r="H68" i="2" s="1"/>
  <c r="G67" i="2"/>
  <c r="I67" i="2" s="1"/>
  <c r="J67" i="2" s="1"/>
  <c r="F67" i="2"/>
  <c r="G66" i="2"/>
  <c r="H66" i="2" s="1"/>
  <c r="F66" i="2"/>
  <c r="I66" i="2" s="1"/>
  <c r="J66" i="2" s="1"/>
  <c r="D10" i="1" s="1"/>
  <c r="G65" i="2"/>
  <c r="F65" i="2"/>
  <c r="I65" i="2" s="1"/>
  <c r="J65" i="2" s="1"/>
  <c r="G64" i="2"/>
  <c r="F64" i="2"/>
  <c r="I64" i="2" s="1"/>
  <c r="J64" i="2" s="1"/>
  <c r="G63" i="2"/>
  <c r="F63" i="2"/>
  <c r="I63" i="2" s="1"/>
  <c r="J63" i="2" s="1"/>
  <c r="G62" i="2"/>
  <c r="F62" i="2"/>
  <c r="I62" i="2" s="1"/>
  <c r="J62" i="2" s="1"/>
  <c r="I61" i="2"/>
  <c r="J61" i="2" s="1"/>
  <c r="H61" i="2"/>
  <c r="G61" i="2"/>
  <c r="F61" i="2"/>
  <c r="G60" i="2"/>
  <c r="F60" i="2"/>
  <c r="I60" i="2" s="1"/>
  <c r="J60" i="2" s="1"/>
  <c r="G59" i="2"/>
  <c r="F59" i="2"/>
  <c r="H59" i="2" s="1"/>
  <c r="G58" i="2"/>
  <c r="F58" i="2"/>
  <c r="I58" i="2" s="1"/>
  <c r="J58" i="2" s="1"/>
  <c r="G57" i="2"/>
  <c r="I57" i="2" s="1"/>
  <c r="J57" i="2" s="1"/>
  <c r="F57" i="2"/>
  <c r="H57" i="2" s="1"/>
  <c r="I56" i="2"/>
  <c r="J56" i="2" s="1"/>
  <c r="G56" i="2"/>
  <c r="F56" i="2"/>
  <c r="H56" i="2" s="1"/>
  <c r="G55" i="2"/>
  <c r="I55" i="2" s="1"/>
  <c r="J55" i="2" s="1"/>
  <c r="F55" i="2"/>
  <c r="G54" i="2"/>
  <c r="H54" i="2" s="1"/>
  <c r="F54" i="2"/>
  <c r="I54" i="2" s="1"/>
  <c r="J54" i="2" s="1"/>
  <c r="G53" i="2"/>
  <c r="F53" i="2"/>
  <c r="I53" i="2" s="1"/>
  <c r="J53" i="2" s="1"/>
  <c r="G52" i="2"/>
  <c r="F52" i="2"/>
  <c r="I52" i="2" s="1"/>
  <c r="J52" i="2" s="1"/>
  <c r="G51" i="2"/>
  <c r="F51" i="2"/>
  <c r="I51" i="2" s="1"/>
  <c r="J51" i="2" s="1"/>
  <c r="G50" i="2"/>
  <c r="F50" i="2"/>
  <c r="I50" i="2" s="1"/>
  <c r="J50" i="2" s="1"/>
  <c r="I49" i="2"/>
  <c r="J49" i="2" s="1"/>
  <c r="H49" i="2"/>
  <c r="G49" i="2"/>
  <c r="F49" i="2"/>
  <c r="G48" i="2"/>
  <c r="F48" i="2"/>
  <c r="I48" i="2" s="1"/>
  <c r="J48" i="2" s="1"/>
  <c r="G47" i="2"/>
  <c r="F47" i="2"/>
  <c r="H47" i="2" s="1"/>
  <c r="G46" i="2"/>
  <c r="F46" i="2"/>
  <c r="I46" i="2" s="1"/>
  <c r="J46" i="2" s="1"/>
  <c r="G45" i="2"/>
  <c r="I45" i="2" s="1"/>
  <c r="J45" i="2" s="1"/>
  <c r="D21" i="1" s="1"/>
  <c r="F45" i="2"/>
  <c r="H45" i="2" s="1"/>
  <c r="I44" i="2"/>
  <c r="J44" i="2" s="1"/>
  <c r="G44" i="2"/>
  <c r="F44" i="2"/>
  <c r="H44" i="2" s="1"/>
  <c r="G43" i="2"/>
  <c r="I43" i="2" s="1"/>
  <c r="J43" i="2" s="1"/>
  <c r="F43" i="2"/>
  <c r="G42" i="2"/>
  <c r="H42" i="2" s="1"/>
  <c r="F42" i="2"/>
  <c r="I42" i="2" s="1"/>
  <c r="J42" i="2" s="1"/>
  <c r="G41" i="2"/>
  <c r="F41" i="2"/>
  <c r="I41" i="2" s="1"/>
  <c r="J41" i="2" s="1"/>
  <c r="G40" i="2"/>
  <c r="F40" i="2"/>
  <c r="I40" i="2" s="1"/>
  <c r="J40" i="2" s="1"/>
  <c r="G39" i="2"/>
  <c r="F39" i="2"/>
  <c r="I39" i="2" s="1"/>
  <c r="J39" i="2" s="1"/>
  <c r="G38" i="2"/>
  <c r="F38" i="2"/>
  <c r="I38" i="2" s="1"/>
  <c r="J38" i="2" s="1"/>
  <c r="I37" i="2"/>
  <c r="J37" i="2" s="1"/>
  <c r="H37" i="2"/>
  <c r="G37" i="2"/>
  <c r="F37" i="2"/>
  <c r="G36" i="2"/>
  <c r="F36" i="2"/>
  <c r="I36" i="2" s="1"/>
  <c r="J36" i="2" s="1"/>
  <c r="G35" i="2"/>
  <c r="F35" i="2"/>
  <c r="H35" i="2" s="1"/>
  <c r="G34" i="2"/>
  <c r="F34" i="2"/>
  <c r="I34" i="2" s="1"/>
  <c r="J34" i="2" s="1"/>
  <c r="G33" i="2"/>
  <c r="I33" i="2" s="1"/>
  <c r="J33" i="2" s="1"/>
  <c r="F33" i="2"/>
  <c r="H33" i="2" s="1"/>
  <c r="I32" i="2"/>
  <c r="J32" i="2" s="1"/>
  <c r="G32" i="2"/>
  <c r="F32" i="2"/>
  <c r="H32" i="2" s="1"/>
  <c r="G31" i="2"/>
  <c r="I31" i="2" s="1"/>
  <c r="J31" i="2" s="1"/>
  <c r="F31" i="2"/>
  <c r="G30" i="2"/>
  <c r="H30" i="2" s="1"/>
  <c r="F30" i="2"/>
  <c r="I30" i="2" s="1"/>
  <c r="J30" i="2" s="1"/>
  <c r="G29" i="2"/>
  <c r="F29" i="2"/>
  <c r="I29" i="2" s="1"/>
  <c r="J29" i="2" s="1"/>
  <c r="E18" i="1" s="1"/>
  <c r="G28" i="2"/>
  <c r="F28" i="2"/>
  <c r="I28" i="2" s="1"/>
  <c r="J28" i="2" s="1"/>
  <c r="G27" i="2"/>
  <c r="F27" i="2"/>
  <c r="I27" i="2" s="1"/>
  <c r="J27" i="2" s="1"/>
  <c r="G26" i="2"/>
  <c r="F26" i="2"/>
  <c r="I26" i="2" s="1"/>
  <c r="J26" i="2" s="1"/>
  <c r="I25" i="2"/>
  <c r="J25" i="2" s="1"/>
  <c r="H25" i="2"/>
  <c r="G25" i="2"/>
  <c r="F25" i="2"/>
  <c r="G24" i="2"/>
  <c r="F24" i="2"/>
  <c r="I24" i="2" s="1"/>
  <c r="J24" i="2" s="1"/>
  <c r="G23" i="2"/>
  <c r="F23" i="2"/>
  <c r="H23" i="2" s="1"/>
  <c r="G22" i="2"/>
  <c r="F22" i="2"/>
  <c r="I22" i="2" s="1"/>
  <c r="J22" i="2" s="1"/>
  <c r="G21" i="2"/>
  <c r="I21" i="2" s="1"/>
  <c r="J21" i="2" s="1"/>
  <c r="F21" i="2"/>
  <c r="H21" i="2" s="1"/>
  <c r="I20" i="2"/>
  <c r="J20" i="2" s="1"/>
  <c r="G20" i="2"/>
  <c r="F20" i="2"/>
  <c r="H20" i="2" s="1"/>
  <c r="G19" i="2"/>
  <c r="I19" i="2" s="1"/>
  <c r="J19" i="2" s="1"/>
  <c r="E19" i="1" s="1"/>
  <c r="F19" i="2"/>
  <c r="G18" i="2"/>
  <c r="H18" i="2" s="1"/>
  <c r="F18" i="2"/>
  <c r="I18" i="2" s="1"/>
  <c r="J18" i="2" s="1"/>
  <c r="G17" i="2"/>
  <c r="F17" i="2"/>
  <c r="I17" i="2" s="1"/>
  <c r="J17" i="2" s="1"/>
  <c r="G16" i="2"/>
  <c r="F16" i="2"/>
  <c r="I16" i="2" s="1"/>
  <c r="J16" i="2" s="1"/>
  <c r="G15" i="2"/>
  <c r="F15" i="2"/>
  <c r="I15" i="2" s="1"/>
  <c r="J15" i="2" s="1"/>
  <c r="G14" i="2"/>
  <c r="F14" i="2"/>
  <c r="I14" i="2" s="1"/>
  <c r="J14" i="2" s="1"/>
  <c r="I13" i="2"/>
  <c r="J13" i="2" s="1"/>
  <c r="H13" i="2"/>
  <c r="G13" i="2"/>
  <c r="F13" i="2"/>
  <c r="G12" i="2"/>
  <c r="F12" i="2"/>
  <c r="I12" i="2" s="1"/>
  <c r="J12" i="2" s="1"/>
  <c r="G11" i="2"/>
  <c r="F11" i="2"/>
  <c r="H11" i="2" s="1"/>
  <c r="G10" i="2"/>
  <c r="F10" i="2"/>
  <c r="I10" i="2" s="1"/>
  <c r="J10" i="2" s="1"/>
  <c r="G9" i="2"/>
  <c r="I9" i="2" s="1"/>
  <c r="J9" i="2" s="1"/>
  <c r="F9" i="2"/>
  <c r="H9" i="2" s="1"/>
  <c r="I8" i="2"/>
  <c r="J8" i="2" s="1"/>
  <c r="E6" i="1" s="1"/>
  <c r="H8" i="2"/>
  <c r="G8" i="2"/>
  <c r="F8" i="2"/>
  <c r="G7" i="2"/>
  <c r="I7" i="2" s="1"/>
  <c r="J7" i="2" s="1"/>
  <c r="D20" i="1" s="1"/>
  <c r="F7" i="2"/>
  <c r="G6" i="2"/>
  <c r="H6" i="2" s="1"/>
  <c r="F6" i="2"/>
  <c r="I6" i="2" s="1"/>
  <c r="J6" i="2" s="1"/>
  <c r="G5" i="2"/>
  <c r="F5" i="2"/>
  <c r="I5" i="2" s="1"/>
  <c r="J5" i="2" s="1"/>
  <c r="G4" i="2"/>
  <c r="F4" i="2"/>
  <c r="I4" i="2" s="1"/>
  <c r="J4" i="2" s="1"/>
  <c r="G3" i="2"/>
  <c r="F3" i="2"/>
  <c r="I3" i="2" s="1"/>
  <c r="J3" i="2" s="1"/>
  <c r="H21" i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H22" i="1" s="1"/>
  <c r="G6" i="1"/>
  <c r="G22" i="1" s="1"/>
  <c r="F6" i="1"/>
  <c r="F22" i="1" s="1"/>
  <c r="D11" i="1" l="1"/>
  <c r="D8" i="1"/>
  <c r="E10" i="1"/>
  <c r="D13" i="1"/>
  <c r="E14" i="1"/>
  <c r="D12" i="1"/>
  <c r="D7" i="1"/>
  <c r="C7" i="1" s="1"/>
  <c r="E7" i="1"/>
  <c r="D17" i="1"/>
  <c r="C17" i="1" s="1"/>
  <c r="E21" i="1"/>
  <c r="C21" i="1" s="1"/>
  <c r="D14" i="1"/>
  <c r="D9" i="1"/>
  <c r="C20" i="1"/>
  <c r="E12" i="1"/>
  <c r="E15" i="1"/>
  <c r="C10" i="1"/>
  <c r="D16" i="1"/>
  <c r="C16" i="1" s="1"/>
  <c r="B3" i="1"/>
  <c r="H4" i="2"/>
  <c r="I11" i="2"/>
  <c r="J11" i="2" s="1"/>
  <c r="H16" i="2"/>
  <c r="I23" i="2"/>
  <c r="J23" i="2" s="1"/>
  <c r="H28" i="2"/>
  <c r="I35" i="2"/>
  <c r="J35" i="2" s="1"/>
  <c r="D6" i="1" s="1"/>
  <c r="H40" i="2"/>
  <c r="I47" i="2"/>
  <c r="J47" i="2" s="1"/>
  <c r="D18" i="1" s="1"/>
  <c r="C18" i="1" s="1"/>
  <c r="H52" i="2"/>
  <c r="I59" i="2"/>
  <c r="J59" i="2" s="1"/>
  <c r="H64" i="2"/>
  <c r="I71" i="2"/>
  <c r="J71" i="2" s="1"/>
  <c r="E9" i="1" s="1"/>
  <c r="H76" i="2"/>
  <c r="I83" i="2"/>
  <c r="J83" i="2" s="1"/>
  <c r="H88" i="2"/>
  <c r="I95" i="2"/>
  <c r="J95" i="2" s="1"/>
  <c r="D15" i="1" s="1"/>
  <c r="C15" i="1" s="1"/>
  <c r="H100" i="2"/>
  <c r="I107" i="2"/>
  <c r="J107" i="2" s="1"/>
  <c r="H112" i="2"/>
  <c r="I119" i="2"/>
  <c r="J119" i="2" s="1"/>
  <c r="E13" i="1" s="1"/>
  <c r="H124" i="2"/>
  <c r="I131" i="2"/>
  <c r="J131" i="2" s="1"/>
  <c r="E8" i="1" s="1"/>
  <c r="H136" i="2"/>
  <c r="I143" i="2"/>
  <c r="J143" i="2" s="1"/>
  <c r="D19" i="1" s="1"/>
  <c r="C19" i="1" s="1"/>
  <c r="H148" i="2"/>
  <c r="H129" i="2"/>
  <c r="H14" i="2"/>
  <c r="H26" i="2"/>
  <c r="H38" i="2"/>
  <c r="H50" i="2"/>
  <c r="H62" i="2"/>
  <c r="H74" i="2"/>
  <c r="H86" i="2"/>
  <c r="H98" i="2"/>
  <c r="H110" i="2"/>
  <c r="H122" i="2"/>
  <c r="H134" i="2"/>
  <c r="H146" i="2"/>
  <c r="H158" i="2"/>
  <c r="H7" i="2"/>
  <c r="H19" i="2"/>
  <c r="H31" i="2"/>
  <c r="H43" i="2"/>
  <c r="H55" i="2"/>
  <c r="H67" i="2"/>
  <c r="H79" i="2"/>
  <c r="H91" i="2"/>
  <c r="H103" i="2"/>
  <c r="H115" i="2"/>
  <c r="H127" i="2"/>
  <c r="H139" i="2"/>
  <c r="H151" i="2"/>
  <c r="H12" i="2"/>
  <c r="H24" i="2"/>
  <c r="H36" i="2"/>
  <c r="H48" i="2"/>
  <c r="H60" i="2"/>
  <c r="H72" i="2"/>
  <c r="H84" i="2"/>
  <c r="H96" i="2"/>
  <c r="H108" i="2"/>
  <c r="H120" i="2"/>
  <c r="H132" i="2"/>
  <c r="H144" i="2"/>
  <c r="H156" i="2"/>
  <c r="H5" i="2"/>
  <c r="H17" i="2"/>
  <c r="H29" i="2"/>
  <c r="H41" i="2"/>
  <c r="H53" i="2"/>
  <c r="H65" i="2"/>
  <c r="H77" i="2"/>
  <c r="H89" i="2"/>
  <c r="H101" i="2"/>
  <c r="H113" i="2"/>
  <c r="H125" i="2"/>
  <c r="H161" i="2"/>
  <c r="H10" i="2"/>
  <c r="H22" i="2"/>
  <c r="H34" i="2"/>
  <c r="H46" i="2"/>
  <c r="H58" i="2"/>
  <c r="H70" i="2"/>
  <c r="H82" i="2"/>
  <c r="H94" i="2"/>
  <c r="H106" i="2"/>
  <c r="H118" i="2"/>
  <c r="H130" i="2"/>
  <c r="H142" i="2"/>
  <c r="H154" i="2"/>
  <c r="H3" i="2"/>
  <c r="H15" i="2"/>
  <c r="H27" i="2"/>
  <c r="H39" i="2"/>
  <c r="H51" i="2"/>
  <c r="H63" i="2"/>
  <c r="H75" i="2"/>
  <c r="H87" i="2"/>
  <c r="H99" i="2"/>
  <c r="H111" i="2"/>
  <c r="H123" i="2"/>
  <c r="H135" i="2"/>
  <c r="H147" i="2"/>
  <c r="H150" i="2"/>
  <c r="E22" i="1" l="1"/>
  <c r="C8" i="1"/>
  <c r="C6" i="1"/>
  <c r="D22" i="1"/>
  <c r="C9" i="1"/>
  <c r="C13" i="1"/>
  <c r="C14" i="1"/>
  <c r="A14" i="1" s="1"/>
  <c r="A10" i="1"/>
  <c r="E11" i="1"/>
  <c r="C11" i="1"/>
  <c r="C12" i="1"/>
  <c r="A13" i="1" l="1"/>
  <c r="A9" i="1"/>
  <c r="C22" i="1"/>
  <c r="A6" i="1"/>
  <c r="A12" i="1"/>
  <c r="A8" i="1"/>
  <c r="A16" i="1"/>
  <c r="A20" i="1"/>
  <c r="A7" i="1"/>
  <c r="A18" i="1"/>
  <c r="A11" i="1"/>
  <c r="A19" i="1"/>
  <c r="A21" i="1"/>
  <c r="A17" i="1"/>
  <c r="A15" i="1"/>
</calcChain>
</file>

<file path=xl/sharedStrings.xml><?xml version="1.0" encoding="utf-8"?>
<sst xmlns="http://schemas.openxmlformats.org/spreadsheetml/2006/main" count="404" uniqueCount="65">
  <si>
    <t>AFL Draft Pick Holdings — Dashboard</t>
  </si>
  <si>
    <t>Total pick value held by each team. Updates automatically from the Picks ledger.</t>
  </si>
  <si>
    <t>Board integrity:</t>
  </si>
  <si>
    <t>Rank</t>
  </si>
  <si>
    <t>Team</t>
  </si>
  <si>
    <t>Total Value</t>
  </si>
  <si>
    <t>2026 Value</t>
  </si>
  <si>
    <t>2027 Value (adj)</t>
  </si>
  <si>
    <t>Picks</t>
  </si>
  <si>
    <t>2026</t>
  </si>
  <si>
    <t>2027</t>
  </si>
  <si>
    <t>Adelaide</t>
  </si>
  <si>
    <t>Brisbane</t>
  </si>
  <si>
    <t>Carlton</t>
  </si>
  <si>
    <t>Collingwood</t>
  </si>
  <si>
    <t>Essendon</t>
  </si>
  <si>
    <t>Fremantle</t>
  </si>
  <si>
    <t>Geelong</t>
  </si>
  <si>
    <t>Hawthorn</t>
  </si>
  <si>
    <t>Melbourne</t>
  </si>
  <si>
    <t>North Melbourne</t>
  </si>
  <si>
    <t>Port Adelaide</t>
  </si>
  <si>
    <t>Richmond</t>
  </si>
  <si>
    <t>St Kilda</t>
  </si>
  <si>
    <t>Sydney</t>
  </si>
  <si>
    <t>West Coast</t>
  </si>
  <si>
    <t>Western Bulldogs</t>
  </si>
  <si>
    <t>LEAGUE TOTAL</t>
  </si>
  <si>
    <t>How to use this workbook</t>
  </si>
  <si>
    <t>1. TRADE a pick:  on the "Picks" sheet, change the Owner cell (blue dropdown). Totals here update instantly.</t>
  </si>
  <si>
    <t>2. UPDATE a finishing position:  on the "Ladder" sheet, edit a team's Low / High. Every pick that team</t>
  </si>
  <si>
    <t xml:space="preserve">     generates re-prices automatically across all owners and rounds.</t>
  </si>
  <si>
    <t>3. Lock a finish:  set Low = High (e.g. 3 and 3) — the band collapses to that exact pick value.</t>
  </si>
  <si>
    <t>4. Different years can differ:  a team's 2026 and 2027 ranges are independent.</t>
  </si>
  <si>
    <t>5. Watch the Board integrity status (top): both years must read VALID, or the ranges have distorted board value.</t>
  </si>
  <si>
    <t>Draft Pick Ledger — change ONLY the Owner column when a pick is traded</t>
  </si>
  <si>
    <t>ID</t>
  </si>
  <si>
    <t>Year</t>
  </si>
  <si>
    <t>Round</t>
  </si>
  <si>
    <t>Origin Team</t>
  </si>
  <si>
    <t>Owner</t>
  </si>
  <si>
    <t>Pick (low)</t>
  </si>
  <si>
    <t>Pick (high)</t>
  </si>
  <si>
    <t>Band</t>
  </si>
  <si>
    <t>Raw Value</t>
  </si>
  <si>
    <t>Value (counted)</t>
  </si>
  <si>
    <t>Ladder Projections &amp; Settings — the only place you set where teams finish</t>
  </si>
  <si>
    <t>2027 value multiplier:</t>
  </si>
  <si>
    <t>← applied to all 2027 picks (2026 picks undiscounted)</t>
  </si>
  <si>
    <t>Edit each team's projected finishing pick range. Set Low = High when locked. Years are independent.</t>
  </si>
  <si>
    <t>2026 Low</t>
  </si>
  <si>
    <t>2026 High</t>
  </si>
  <si>
    <t>2027 Low</t>
  </si>
  <si>
    <t>2027 High</t>
  </si>
  <si>
    <t>RANGE INTEGRITY CHECK</t>
  </si>
  <si>
    <t>Position</t>
  </si>
  <si>
    <t>2026 board:</t>
  </si>
  <si>
    <t>2027 board:</t>
  </si>
  <si>
    <t>Each position must read 1.000 — filled by exactly one team. If a range is too wide/narrow,</t>
  </si>
  <si>
    <t>positions drift off 1.000 and the board gains or loses value. Positions 1–16 = round 1; rounds 2–5 inherit it.</t>
  </si>
  <si>
    <t>Board value each year (fixed):</t>
  </si>
  <si>
    <t>Pick</t>
  </si>
  <si>
    <t>Value</t>
  </si>
  <si>
    <t>Reference: dollar value of each draft pick (1–80).</t>
  </si>
  <si>
    <t>Band values on the Picks sheet = ROUND(AVERAGE of this table across the band, 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</si>
</sst>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b/>
      <sz val="11"/>
      <color rgb="FF1F3864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 applyAlignment="1">
      <alignment horizontal="right"/>
    </xf>
    <xf numFmtId="0" fontId="0" fillId="0" borderId="1" xfId="0" applyBorder="1"/>
    <xf numFmtId="3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1" xfId="0" applyFont="1" applyBorder="1"/>
    <xf numFmtId="2" fontId="9" fillId="3" borderId="1" xfId="0" applyNumberFormat="1" applyFont="1" applyFill="1" applyBorder="1" applyAlignment="1">
      <alignment horizontal="center"/>
    </xf>
    <xf numFmtId="0" fontId="10" fillId="0" borderId="0" xfId="0" applyFont="1"/>
    <xf numFmtId="0" fontId="8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right"/>
    </xf>
  </cellXfs>
  <cellStyles count="1">
    <cellStyle name="Normal" xfId="0" builtinId="0"/>
  </cellStyles>
  <dxfs count="5">
    <dxf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174-9DB3-45B4-9B10-739565AFE488}">
  <dimension ref="A1:H30"/>
  <sheetViews>
    <sheetView showGridLines="0" tabSelected="1" zoomScaleNormal="100" workbookViewId="0">
      <pane ySplit="5" topLeftCell="A6" activePane="bottomLeft" state="frozen"/>
      <selection activeCell="B23" sqref="B23"/>
      <selection pane="bottomLeft" activeCell="B23" sqref="B23"/>
    </sheetView>
  </sheetViews>
  <sheetFormatPr defaultColWidth="8.6640625" defaultRowHeight="14.4" x14ac:dyDescent="0.3"/>
  <cols>
    <col min="1" max="1" width="14" customWidth="1"/>
    <col min="2" max="2" width="22" customWidth="1"/>
    <col min="3" max="3" width="13" customWidth="1"/>
    <col min="4" max="4" width="12" customWidth="1"/>
    <col min="5" max="5" width="16" customWidth="1"/>
    <col min="6" max="8" width="8" customWidth="1"/>
  </cols>
  <sheetData>
    <row r="1" spans="1:8" ht="17.399999999999999" x14ac:dyDescent="0.3">
      <c r="A1" s="1" t="s">
        <v>0</v>
      </c>
    </row>
    <row r="2" spans="1:8" x14ac:dyDescent="0.3">
      <c r="A2" s="2" t="s">
        <v>1</v>
      </c>
    </row>
    <row r="3" spans="1:8" x14ac:dyDescent="0.3">
      <c r="A3" s="3" t="s">
        <v>2</v>
      </c>
      <c r="B3" s="3" t="str">
        <f>"2026:  "&amp;Ladder!$I$23&amp;"        2027:  "&amp;Ladder!$I$24</f>
        <v>2026:  VALID - value conserved        2027:  VALID - value conserved</v>
      </c>
    </row>
    <row r="5" spans="1:8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x14ac:dyDescent="0.3">
      <c r="A6" s="5">
        <f t="shared" ref="A6:A21" si="0">RANK(C6,$C$6:$C$21)</f>
        <v>2</v>
      </c>
      <c r="B6" s="6" t="s">
        <v>11</v>
      </c>
      <c r="C6" s="7">
        <f t="shared" ref="C6:C21" si="1">D6+E6</f>
        <v>13174</v>
      </c>
      <c r="D6" s="7">
        <f>SUMIFS(Picks!$J:$J,Picks!$E:$E,$B6,Picks!$B:$B,2026)</f>
        <v>4497</v>
      </c>
      <c r="E6" s="7">
        <f>SUMIFS(Picks!$J:$J,Picks!$E:$E,$B6,Picks!$B:$B,2027)</f>
        <v>8677</v>
      </c>
      <c r="F6" s="5">
        <f>COUNTIFS(Picks!$E:$E,$B6)</f>
        <v>16</v>
      </c>
      <c r="G6" s="5">
        <f>COUNTIFS(Picks!$E:$E,$B6,Picks!$B:$B,2026)</f>
        <v>7</v>
      </c>
      <c r="H6" s="5">
        <f>COUNTIFS(Picks!$E:$E,$B6,Picks!$B:$B,2027)</f>
        <v>9</v>
      </c>
    </row>
    <row r="7" spans="1:8" x14ac:dyDescent="0.3">
      <c r="A7" s="5">
        <f t="shared" si="0"/>
        <v>15</v>
      </c>
      <c r="B7" s="6" t="s">
        <v>12</v>
      </c>
      <c r="C7" s="7">
        <f t="shared" si="1"/>
        <v>1215</v>
      </c>
      <c r="D7" s="7">
        <f>SUMIFS(Picks!$J:$J,Picks!$E:$E,$B7,Picks!$B:$B,2026)</f>
        <v>463</v>
      </c>
      <c r="E7" s="7">
        <f>SUMIFS(Picks!$J:$J,Picks!$E:$E,$B7,Picks!$B:$B,2027)</f>
        <v>752</v>
      </c>
      <c r="F7" s="5">
        <f>COUNTIFS(Picks!$E:$E,$B7)</f>
        <v>5</v>
      </c>
      <c r="G7" s="5">
        <f>COUNTIFS(Picks!$E:$E,$B7,Picks!$B:$B,2026)</f>
        <v>2</v>
      </c>
      <c r="H7" s="5">
        <f>COUNTIFS(Picks!$E:$E,$B7,Picks!$B:$B,2027)</f>
        <v>3</v>
      </c>
    </row>
    <row r="8" spans="1:8" x14ac:dyDescent="0.3">
      <c r="A8" s="5">
        <f t="shared" si="0"/>
        <v>12</v>
      </c>
      <c r="B8" s="6" t="s">
        <v>13</v>
      </c>
      <c r="C8" s="7">
        <f t="shared" si="1"/>
        <v>1992</v>
      </c>
      <c r="D8" s="7">
        <f>SUMIFS(Picks!$J:$J,Picks!$E:$E,$B8,Picks!$B:$B,2026)</f>
        <v>974</v>
      </c>
      <c r="E8" s="7">
        <f>SUMIFS(Picks!$J:$J,Picks!$E:$E,$B8,Picks!$B:$B,2027)</f>
        <v>1018</v>
      </c>
      <c r="F8" s="5">
        <f>COUNTIFS(Picks!$E:$E,$B8)</f>
        <v>9</v>
      </c>
      <c r="G8" s="5">
        <f>COUNTIFS(Picks!$E:$E,$B8,Picks!$B:$B,2026)</f>
        <v>4</v>
      </c>
      <c r="H8" s="5">
        <f>COUNTIFS(Picks!$E:$E,$B8,Picks!$B:$B,2027)</f>
        <v>5</v>
      </c>
    </row>
    <row r="9" spans="1:8" x14ac:dyDescent="0.3">
      <c r="A9" s="5">
        <f t="shared" si="0"/>
        <v>3</v>
      </c>
      <c r="B9" s="6" t="s">
        <v>14</v>
      </c>
      <c r="C9" s="7">
        <f t="shared" si="1"/>
        <v>12901</v>
      </c>
      <c r="D9" s="7">
        <f>SUMIFS(Picks!$J:$J,Picks!$E:$E,$B9,Picks!$B:$B,2026)</f>
        <v>6675</v>
      </c>
      <c r="E9" s="7">
        <f>SUMIFS(Picks!$J:$J,Picks!$E:$E,$B9,Picks!$B:$B,2027)</f>
        <v>6226</v>
      </c>
      <c r="F9" s="5">
        <f>COUNTIFS(Picks!$E:$E,$B9)</f>
        <v>20</v>
      </c>
      <c r="G9" s="5">
        <f>COUNTIFS(Picks!$E:$E,$B9,Picks!$B:$B,2026)</f>
        <v>9</v>
      </c>
      <c r="H9" s="5">
        <f>COUNTIFS(Picks!$E:$E,$B9,Picks!$B:$B,2027)</f>
        <v>11</v>
      </c>
    </row>
    <row r="10" spans="1:8" x14ac:dyDescent="0.3">
      <c r="A10" s="5">
        <f t="shared" si="0"/>
        <v>8</v>
      </c>
      <c r="B10" s="6" t="s">
        <v>15</v>
      </c>
      <c r="C10" s="7">
        <f t="shared" si="1"/>
        <v>4867</v>
      </c>
      <c r="D10" s="7">
        <f>SUMIFS(Picks!$J:$J,Picks!$E:$E,$B10,Picks!$B:$B,2026)</f>
        <v>767</v>
      </c>
      <c r="E10" s="7">
        <f>SUMIFS(Picks!$J:$J,Picks!$E:$E,$B10,Picks!$B:$B,2027)</f>
        <v>4100</v>
      </c>
      <c r="F10" s="5">
        <f>COUNTIFS(Picks!$E:$E,$B10)</f>
        <v>6</v>
      </c>
      <c r="G10" s="5">
        <f>COUNTIFS(Picks!$E:$E,$B10,Picks!$B:$B,2026)</f>
        <v>2</v>
      </c>
      <c r="H10" s="5">
        <f>COUNTIFS(Picks!$E:$E,$B10,Picks!$B:$B,2027)</f>
        <v>4</v>
      </c>
    </row>
    <row r="11" spans="1:8" x14ac:dyDescent="0.3">
      <c r="A11" s="5">
        <f t="shared" si="0"/>
        <v>5</v>
      </c>
      <c r="B11" s="6" t="s">
        <v>16</v>
      </c>
      <c r="C11" s="7">
        <f t="shared" si="1"/>
        <v>8932</v>
      </c>
      <c r="D11" s="7">
        <f>SUMIFS(Picks!$J:$J,Picks!$E:$E,$B11,Picks!$B:$B,2026)</f>
        <v>6158</v>
      </c>
      <c r="E11" s="7">
        <f>SUMIFS(Picks!$J:$J,Picks!$E:$E,$B11,Picks!$B:$B,2027)</f>
        <v>2774</v>
      </c>
      <c r="F11" s="5">
        <f>COUNTIFS(Picks!$E:$E,$B11)</f>
        <v>18</v>
      </c>
      <c r="G11" s="5">
        <f>COUNTIFS(Picks!$E:$E,$B11,Picks!$B:$B,2026)</f>
        <v>12</v>
      </c>
      <c r="H11" s="5">
        <f>COUNTIFS(Picks!$E:$E,$B11,Picks!$B:$B,2027)</f>
        <v>6</v>
      </c>
    </row>
    <row r="12" spans="1:8" x14ac:dyDescent="0.3">
      <c r="A12" s="5">
        <f t="shared" si="0"/>
        <v>10</v>
      </c>
      <c r="B12" s="6" t="s">
        <v>17</v>
      </c>
      <c r="C12" s="7">
        <f t="shared" si="1"/>
        <v>3458</v>
      </c>
      <c r="D12" s="7">
        <f>SUMIFS(Picks!$J:$J,Picks!$E:$E,$B12,Picks!$B:$B,2026)</f>
        <v>714</v>
      </c>
      <c r="E12" s="7">
        <f>SUMIFS(Picks!$J:$J,Picks!$E:$E,$B12,Picks!$B:$B,2027)</f>
        <v>2744</v>
      </c>
      <c r="F12" s="5">
        <f>COUNTIFS(Picks!$E:$E,$B12)</f>
        <v>6</v>
      </c>
      <c r="G12" s="5">
        <f>COUNTIFS(Picks!$E:$E,$B12,Picks!$B:$B,2026)</f>
        <v>3</v>
      </c>
      <c r="H12" s="5">
        <f>COUNTIFS(Picks!$E:$E,$B12,Picks!$B:$B,2027)</f>
        <v>3</v>
      </c>
    </row>
    <row r="13" spans="1:8" x14ac:dyDescent="0.3">
      <c r="A13" s="5">
        <f t="shared" si="0"/>
        <v>1</v>
      </c>
      <c r="B13" s="6" t="s">
        <v>18</v>
      </c>
      <c r="C13" s="7">
        <f t="shared" si="1"/>
        <v>23037</v>
      </c>
      <c r="D13" s="7">
        <f>SUMIFS(Picks!$J:$J,Picks!$E:$E,$B13,Picks!$B:$B,2026)</f>
        <v>15260</v>
      </c>
      <c r="E13" s="7">
        <f>SUMIFS(Picks!$J:$J,Picks!$E:$E,$B13,Picks!$B:$B,2027)</f>
        <v>7777</v>
      </c>
      <c r="F13" s="5">
        <f>COUNTIFS(Picks!$E:$E,$B13)</f>
        <v>20</v>
      </c>
      <c r="G13" s="5">
        <f>COUNTIFS(Picks!$E:$E,$B13,Picks!$B:$B,2026)</f>
        <v>12</v>
      </c>
      <c r="H13" s="5">
        <f>COUNTIFS(Picks!$E:$E,$B13,Picks!$B:$B,2027)</f>
        <v>8</v>
      </c>
    </row>
    <row r="14" spans="1:8" x14ac:dyDescent="0.3">
      <c r="A14" s="5">
        <f t="shared" si="0"/>
        <v>4</v>
      </c>
      <c r="B14" s="6" t="s">
        <v>19</v>
      </c>
      <c r="C14" s="7">
        <f t="shared" si="1"/>
        <v>9219</v>
      </c>
      <c r="D14" s="7">
        <f>SUMIFS(Picks!$J:$J,Picks!$E:$E,$B14,Picks!$B:$B,2026)</f>
        <v>7765</v>
      </c>
      <c r="E14" s="7">
        <f>SUMIFS(Picks!$J:$J,Picks!$E:$E,$B14,Picks!$B:$B,2027)</f>
        <v>1454</v>
      </c>
      <c r="F14" s="5">
        <f>COUNTIFS(Picks!$E:$E,$B14)</f>
        <v>10</v>
      </c>
      <c r="G14" s="5">
        <f>COUNTIFS(Picks!$E:$E,$B14,Picks!$B:$B,2026)</f>
        <v>7</v>
      </c>
      <c r="H14" s="5">
        <f>COUNTIFS(Picks!$E:$E,$B14,Picks!$B:$B,2027)</f>
        <v>3</v>
      </c>
    </row>
    <row r="15" spans="1:8" x14ac:dyDescent="0.3">
      <c r="A15" s="5">
        <f t="shared" si="0"/>
        <v>7</v>
      </c>
      <c r="B15" s="6" t="s">
        <v>20</v>
      </c>
      <c r="C15" s="7">
        <f t="shared" si="1"/>
        <v>5186</v>
      </c>
      <c r="D15" s="7">
        <f>SUMIFS(Picks!$J:$J,Picks!$E:$E,$B15,Picks!$B:$B,2026)</f>
        <v>1421</v>
      </c>
      <c r="E15" s="7">
        <f>SUMIFS(Picks!$J:$J,Picks!$E:$E,$B15,Picks!$B:$B,2027)</f>
        <v>3765</v>
      </c>
      <c r="F15" s="5">
        <f>COUNTIFS(Picks!$E:$E,$B15)</f>
        <v>11</v>
      </c>
      <c r="G15" s="5">
        <f>COUNTIFS(Picks!$E:$E,$B15,Picks!$B:$B,2026)</f>
        <v>4</v>
      </c>
      <c r="H15" s="5">
        <f>COUNTIFS(Picks!$E:$E,$B15,Picks!$B:$B,2027)</f>
        <v>7</v>
      </c>
    </row>
    <row r="16" spans="1:8" x14ac:dyDescent="0.3">
      <c r="A16" s="5">
        <f t="shared" si="0"/>
        <v>14</v>
      </c>
      <c r="B16" s="6" t="s">
        <v>21</v>
      </c>
      <c r="C16" s="7">
        <f t="shared" si="1"/>
        <v>1470</v>
      </c>
      <c r="D16" s="7">
        <f>SUMIFS(Picks!$J:$J,Picks!$E:$E,$B16,Picks!$B:$B,2026)</f>
        <v>604</v>
      </c>
      <c r="E16" s="7">
        <f>SUMIFS(Picks!$J:$J,Picks!$E:$E,$B16,Picks!$B:$B,2027)</f>
        <v>866</v>
      </c>
      <c r="F16" s="5">
        <f>COUNTIFS(Picks!$E:$E,$B16)</f>
        <v>5</v>
      </c>
      <c r="G16" s="5">
        <f>COUNTIFS(Picks!$E:$E,$B16,Picks!$B:$B,2026)</f>
        <v>2</v>
      </c>
      <c r="H16" s="5">
        <f>COUNTIFS(Picks!$E:$E,$B16,Picks!$B:$B,2027)</f>
        <v>3</v>
      </c>
    </row>
    <row r="17" spans="1:8" x14ac:dyDescent="0.3">
      <c r="A17" s="5">
        <f t="shared" si="0"/>
        <v>11</v>
      </c>
      <c r="B17" s="6" t="s">
        <v>22</v>
      </c>
      <c r="C17" s="7">
        <f t="shared" si="1"/>
        <v>2378</v>
      </c>
      <c r="D17" s="7">
        <f>SUMIFS(Picks!$J:$J,Picks!$E:$E,$B17,Picks!$B:$B,2026)</f>
        <v>564</v>
      </c>
      <c r="E17" s="7">
        <f>SUMIFS(Picks!$J:$J,Picks!$E:$E,$B17,Picks!$B:$B,2027)</f>
        <v>1814</v>
      </c>
      <c r="F17" s="5">
        <f>COUNTIFS(Picks!$E:$E,$B17)</f>
        <v>5</v>
      </c>
      <c r="G17" s="5">
        <f>COUNTIFS(Picks!$E:$E,$B17,Picks!$B:$B,2026)</f>
        <v>3</v>
      </c>
      <c r="H17" s="5">
        <f>COUNTIFS(Picks!$E:$E,$B17,Picks!$B:$B,2027)</f>
        <v>2</v>
      </c>
    </row>
    <row r="18" spans="1:8" x14ac:dyDescent="0.3">
      <c r="A18" s="5">
        <f t="shared" si="0"/>
        <v>9</v>
      </c>
      <c r="B18" s="6" t="s">
        <v>23</v>
      </c>
      <c r="C18" s="7">
        <f t="shared" si="1"/>
        <v>4281</v>
      </c>
      <c r="D18" s="7">
        <f>SUMIFS(Picks!$J:$J,Picks!$E:$E,$B18,Picks!$B:$B,2026)</f>
        <v>1156</v>
      </c>
      <c r="E18" s="7">
        <f>SUMIFS(Picks!$J:$J,Picks!$E:$E,$B18,Picks!$B:$B,2027)</f>
        <v>3125</v>
      </c>
      <c r="F18" s="5">
        <f>COUNTIFS(Picks!$E:$E,$B18)</f>
        <v>8</v>
      </c>
      <c r="G18" s="5">
        <f>COUNTIFS(Picks!$E:$E,$B18,Picks!$B:$B,2026)</f>
        <v>3</v>
      </c>
      <c r="H18" s="5">
        <f>COUNTIFS(Picks!$E:$E,$B18,Picks!$B:$B,2027)</f>
        <v>5</v>
      </c>
    </row>
    <row r="19" spans="1:8" x14ac:dyDescent="0.3">
      <c r="A19" s="5">
        <f t="shared" si="0"/>
        <v>6</v>
      </c>
      <c r="B19" s="6" t="s">
        <v>24</v>
      </c>
      <c r="C19" s="7">
        <f t="shared" si="1"/>
        <v>8880</v>
      </c>
      <c r="D19" s="7">
        <f>SUMIFS(Picks!$J:$J,Picks!$E:$E,$B19,Picks!$B:$B,2026)</f>
        <v>6193</v>
      </c>
      <c r="E19" s="7">
        <f>SUMIFS(Picks!$J:$J,Picks!$E:$E,$B19,Picks!$B:$B,2027)</f>
        <v>2687</v>
      </c>
      <c r="F19" s="5">
        <f>COUNTIFS(Picks!$E:$E,$B19)</f>
        <v>13</v>
      </c>
      <c r="G19" s="5">
        <f>COUNTIFS(Picks!$E:$E,$B19,Picks!$B:$B,2026)</f>
        <v>6</v>
      </c>
      <c r="H19" s="5">
        <f>COUNTIFS(Picks!$E:$E,$B19,Picks!$B:$B,2027)</f>
        <v>7</v>
      </c>
    </row>
    <row r="20" spans="1:8" x14ac:dyDescent="0.3">
      <c r="A20" s="5">
        <f t="shared" si="0"/>
        <v>16</v>
      </c>
      <c r="B20" s="6" t="s">
        <v>25</v>
      </c>
      <c r="C20" s="7">
        <f t="shared" si="1"/>
        <v>486</v>
      </c>
      <c r="D20" s="7">
        <f>SUMIFS(Picks!$J:$J,Picks!$E:$E,$B20,Picks!$B:$B,2026)</f>
        <v>358</v>
      </c>
      <c r="E20" s="7">
        <f>SUMIFS(Picks!$J:$J,Picks!$E:$E,$B20,Picks!$B:$B,2027)</f>
        <v>128</v>
      </c>
      <c r="F20" s="5">
        <f>COUNTIFS(Picks!$E:$E,$B20)</f>
        <v>3</v>
      </c>
      <c r="G20" s="5">
        <f>COUNTIFS(Picks!$E:$E,$B20,Picks!$B:$B,2026)</f>
        <v>2</v>
      </c>
      <c r="H20" s="5">
        <f>COUNTIFS(Picks!$E:$E,$B20,Picks!$B:$B,2027)</f>
        <v>1</v>
      </c>
    </row>
    <row r="21" spans="1:8" x14ac:dyDescent="0.3">
      <c r="A21" s="5">
        <f t="shared" si="0"/>
        <v>13</v>
      </c>
      <c r="B21" s="6" t="s">
        <v>26</v>
      </c>
      <c r="C21" s="7">
        <f t="shared" si="1"/>
        <v>1773</v>
      </c>
      <c r="D21" s="7">
        <f>SUMIFS(Picks!$J:$J,Picks!$E:$E,$B21,Picks!$B:$B,2026)</f>
        <v>771</v>
      </c>
      <c r="E21" s="7">
        <f>SUMIFS(Picks!$J:$J,Picks!$E:$E,$B21,Picks!$B:$B,2027)</f>
        <v>1002</v>
      </c>
      <c r="F21" s="5">
        <f>COUNTIFS(Picks!$E:$E,$B21)</f>
        <v>5</v>
      </c>
      <c r="G21" s="5">
        <f>COUNTIFS(Picks!$E:$E,$B21,Picks!$B:$B,2026)</f>
        <v>2</v>
      </c>
      <c r="H21" s="5">
        <f>COUNTIFS(Picks!$E:$E,$B21,Picks!$B:$B,2027)</f>
        <v>3</v>
      </c>
    </row>
    <row r="22" spans="1:8" x14ac:dyDescent="0.3">
      <c r="A22" s="8"/>
      <c r="B22" s="3" t="s">
        <v>27</v>
      </c>
      <c r="C22" s="9">
        <f t="shared" ref="C22:H22" si="2">SUM(C6:C21)</f>
        <v>103249</v>
      </c>
      <c r="D22" s="9">
        <f t="shared" si="2"/>
        <v>54340</v>
      </c>
      <c r="E22" s="9">
        <f t="shared" si="2"/>
        <v>48909</v>
      </c>
      <c r="F22" s="10">
        <f t="shared" si="2"/>
        <v>160</v>
      </c>
      <c r="G22" s="10">
        <f t="shared" si="2"/>
        <v>80</v>
      </c>
      <c r="H22" s="10">
        <f t="shared" si="2"/>
        <v>80</v>
      </c>
    </row>
    <row r="24" spans="1:8" x14ac:dyDescent="0.3">
      <c r="B24" s="11" t="s">
        <v>28</v>
      </c>
    </row>
    <row r="25" spans="1:8" x14ac:dyDescent="0.3">
      <c r="B25" s="12" t="s">
        <v>29</v>
      </c>
    </row>
    <row r="26" spans="1:8" x14ac:dyDescent="0.3">
      <c r="B26" s="12" t="s">
        <v>30</v>
      </c>
    </row>
    <row r="27" spans="1:8" x14ac:dyDescent="0.3">
      <c r="B27" s="12" t="s">
        <v>31</v>
      </c>
    </row>
    <row r="28" spans="1:8" x14ac:dyDescent="0.3">
      <c r="B28" s="12" t="s">
        <v>32</v>
      </c>
    </row>
    <row r="29" spans="1:8" x14ac:dyDescent="0.3">
      <c r="B29" s="12" t="s">
        <v>33</v>
      </c>
    </row>
    <row r="30" spans="1:8" x14ac:dyDescent="0.3">
      <c r="B30" s="12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5253C-4243-4478-9F99-BDAE0640D740}">
  <dimension ref="A1:J162"/>
  <sheetViews>
    <sheetView showGridLines="0" zoomScaleNormal="100" workbookViewId="0">
      <pane ySplit="2" topLeftCell="A103" activePane="bottomLeft" state="frozen"/>
      <selection activeCell="B23" sqref="B23"/>
      <selection pane="bottomLeft" activeCell="B23" sqref="B23"/>
    </sheetView>
  </sheetViews>
  <sheetFormatPr defaultColWidth="8.6640625" defaultRowHeight="14.4" x14ac:dyDescent="0.3"/>
  <cols>
    <col min="1" max="1" width="5" customWidth="1"/>
    <col min="2" max="2" width="6" customWidth="1"/>
    <col min="3" max="3" width="7" customWidth="1"/>
    <col min="4" max="5" width="16" customWidth="1"/>
    <col min="6" max="8" width="9" customWidth="1"/>
    <col min="9" max="9" width="11" customWidth="1"/>
    <col min="10" max="10" width="14" customWidth="1"/>
  </cols>
  <sheetData>
    <row r="1" spans="1:10" ht="17.399999999999999" x14ac:dyDescent="0.3">
      <c r="A1" s="1" t="s">
        <v>35</v>
      </c>
    </row>
    <row r="2" spans="1:10" x14ac:dyDescent="0.3">
      <c r="A2" s="4" t="s">
        <v>36</v>
      </c>
      <c r="B2" s="4" t="s">
        <v>37</v>
      </c>
      <c r="C2" s="4" t="s">
        <v>38</v>
      </c>
      <c r="D2" s="4" t="s">
        <v>39</v>
      </c>
      <c r="E2" s="4" t="s">
        <v>40</v>
      </c>
      <c r="F2" s="4" t="s">
        <v>41</v>
      </c>
      <c r="G2" s="4" t="s">
        <v>42</v>
      </c>
      <c r="H2" s="4" t="s">
        <v>43</v>
      </c>
      <c r="I2" s="4" t="s">
        <v>44</v>
      </c>
      <c r="J2" s="4" t="s">
        <v>45</v>
      </c>
    </row>
    <row r="3" spans="1:10" x14ac:dyDescent="0.3">
      <c r="A3" s="5">
        <v>1</v>
      </c>
      <c r="B3" s="5">
        <v>2026</v>
      </c>
      <c r="C3" s="5">
        <v>1</v>
      </c>
      <c r="D3" s="6" t="s">
        <v>11</v>
      </c>
      <c r="E3" s="13" t="s">
        <v>24</v>
      </c>
      <c r="F3" s="5">
        <f>INDEX(Ladder!$B$5:$E$20,MATCH($D3,Ladder!$A$5:$A$20,0),IF($B3=2026,1,3))+($C3-1)*16</f>
        <v>9</v>
      </c>
      <c r="G3" s="5">
        <f>INDEX(Ladder!$B$5:$E$20,MATCH($D3,Ladder!$A$5:$A$20,0),IF($B3=2026,2,4))+($C3-1)*16</f>
        <v>11</v>
      </c>
      <c r="H3" s="5" t="str">
        <f t="shared" ref="H3:H66" si="0">IF($F3=$G3,"#"&amp;$F3,"#"&amp;$F3&amp;"-"&amp;$G3)</f>
        <v>#9-11</v>
      </c>
      <c r="I3" s="7">
        <f>ROUND(AVERAGEIFS('Pick Values'!$B$2:$B$81,'Pick Values'!$A$2:$A$81,"&gt;="&amp;$F3,'Pick Values'!$A$2:$A$81,"&lt;="&amp;$G3),0)</f>
        <v>1483</v>
      </c>
      <c r="J3" s="7">
        <f>IF($B3=2027,ROUND($I3*Ladder!$B$2,0),$I3)</f>
        <v>1483</v>
      </c>
    </row>
    <row r="4" spans="1:10" x14ac:dyDescent="0.3">
      <c r="A4" s="5">
        <v>2</v>
      </c>
      <c r="B4" s="5">
        <v>2026</v>
      </c>
      <c r="C4" s="5">
        <v>2</v>
      </c>
      <c r="D4" s="6" t="s">
        <v>11</v>
      </c>
      <c r="E4" s="13" t="s">
        <v>19</v>
      </c>
      <c r="F4" s="5">
        <f>INDEX(Ladder!$B$5:$E$20,MATCH($D4,Ladder!$A$5:$A$20,0),IF($B4=2026,1,3))+($C4-1)*16</f>
        <v>25</v>
      </c>
      <c r="G4" s="5">
        <f>INDEX(Ladder!$B$5:$E$20,MATCH($D4,Ladder!$A$5:$A$20,0),IF($B4=2026,2,4))+($C4-1)*16</f>
        <v>27</v>
      </c>
      <c r="H4" s="5" t="str">
        <f t="shared" si="0"/>
        <v>#25-27</v>
      </c>
      <c r="I4" s="7">
        <f>ROUND(AVERAGEIFS('Pick Values'!$B$2:$B$81,'Pick Values'!$A$2:$A$81,"&gt;="&amp;$F4,'Pick Values'!$A$2:$A$81,"&lt;="&amp;$G4),0)</f>
        <v>624</v>
      </c>
      <c r="J4" s="7">
        <f>IF($B4=2027,ROUND($I4*Ladder!$B$2,0),$I4)</f>
        <v>624</v>
      </c>
    </row>
    <row r="5" spans="1:10" x14ac:dyDescent="0.3">
      <c r="A5" s="5">
        <v>3</v>
      </c>
      <c r="B5" s="5">
        <v>2026</v>
      </c>
      <c r="C5" s="5">
        <v>3</v>
      </c>
      <c r="D5" s="6" t="s">
        <v>11</v>
      </c>
      <c r="E5" s="13" t="s">
        <v>14</v>
      </c>
      <c r="F5" s="5">
        <f>INDEX(Ladder!$B$5:$E$20,MATCH($D5,Ladder!$A$5:$A$20,0),IF($B5=2026,1,3))+($C5-1)*16</f>
        <v>41</v>
      </c>
      <c r="G5" s="5">
        <f>INDEX(Ladder!$B$5:$E$20,MATCH($D5,Ladder!$A$5:$A$20,0),IF($B5=2026,2,4))+($C5-1)*16</f>
        <v>43</v>
      </c>
      <c r="H5" s="5" t="str">
        <f t="shared" si="0"/>
        <v>#41-43</v>
      </c>
      <c r="I5" s="7">
        <f>ROUND(AVERAGEIFS('Pick Values'!$B$2:$B$81,'Pick Values'!$A$2:$A$81,"&gt;="&amp;$F5,'Pick Values'!$A$2:$A$81,"&lt;="&amp;$G5),0)</f>
        <v>500</v>
      </c>
      <c r="J5" s="7">
        <f>IF($B5=2027,ROUND($I5*Ladder!$B$2,0),$I5)</f>
        <v>500</v>
      </c>
    </row>
    <row r="6" spans="1:10" x14ac:dyDescent="0.3">
      <c r="A6" s="5">
        <v>4</v>
      </c>
      <c r="B6" s="5">
        <v>2026</v>
      </c>
      <c r="C6" s="5">
        <v>4</v>
      </c>
      <c r="D6" s="6" t="s">
        <v>11</v>
      </c>
      <c r="E6" s="13" t="s">
        <v>17</v>
      </c>
      <c r="F6" s="5">
        <f>INDEX(Ladder!$B$5:$E$20,MATCH($D6,Ladder!$A$5:$A$20,0),IF($B6=2026,1,3))+($C6-1)*16</f>
        <v>57</v>
      </c>
      <c r="G6" s="5">
        <f>INDEX(Ladder!$B$5:$E$20,MATCH($D6,Ladder!$A$5:$A$20,0),IF($B6=2026,2,4))+($C6-1)*16</f>
        <v>59</v>
      </c>
      <c r="H6" s="5" t="str">
        <f t="shared" si="0"/>
        <v>#57-59</v>
      </c>
      <c r="I6" s="7">
        <f>ROUND(AVERAGEIFS('Pick Values'!$B$2:$B$81,'Pick Values'!$A$2:$A$81,"&gt;="&amp;$F6,'Pick Values'!$A$2:$A$81,"&lt;="&amp;$G6),0)</f>
        <v>296</v>
      </c>
      <c r="J6" s="7">
        <f>IF($B6=2027,ROUND($I6*Ladder!$B$2,0),$I6)</f>
        <v>296</v>
      </c>
    </row>
    <row r="7" spans="1:10" x14ac:dyDescent="0.3">
      <c r="A7" s="5">
        <v>5</v>
      </c>
      <c r="B7" s="5">
        <v>2026</v>
      </c>
      <c r="C7" s="5">
        <v>5</v>
      </c>
      <c r="D7" s="6" t="s">
        <v>11</v>
      </c>
      <c r="E7" s="13" t="s">
        <v>25</v>
      </c>
      <c r="F7" s="5">
        <f>INDEX(Ladder!$B$5:$E$20,MATCH($D7,Ladder!$A$5:$A$20,0),IF($B7=2026,1,3))+($C7-1)*16</f>
        <v>73</v>
      </c>
      <c r="G7" s="5">
        <f>INDEX(Ladder!$B$5:$E$20,MATCH($D7,Ladder!$A$5:$A$20,0),IF($B7=2026,2,4))+($C7-1)*16</f>
        <v>75</v>
      </c>
      <c r="H7" s="5" t="str">
        <f t="shared" si="0"/>
        <v>#73-75</v>
      </c>
      <c r="I7" s="7">
        <f>ROUND(AVERAGEIFS('Pick Values'!$B$2:$B$81,'Pick Values'!$A$2:$A$81,"&gt;="&amp;$F7,'Pick Values'!$A$2:$A$81,"&lt;="&amp;$G7),0)</f>
        <v>167</v>
      </c>
      <c r="J7" s="7">
        <f>IF($B7=2027,ROUND($I7*Ladder!$B$2,0),$I7)</f>
        <v>167</v>
      </c>
    </row>
    <row r="8" spans="1:10" x14ac:dyDescent="0.3">
      <c r="A8" s="5">
        <v>6</v>
      </c>
      <c r="B8" s="5">
        <v>2027</v>
      </c>
      <c r="C8" s="5">
        <v>1</v>
      </c>
      <c r="D8" s="6" t="s">
        <v>11</v>
      </c>
      <c r="E8" s="13" t="s">
        <v>11</v>
      </c>
      <c r="F8" s="5">
        <f>INDEX(Ladder!$B$5:$E$20,MATCH($D8,Ladder!$A$5:$A$20,0),IF($B8=2026,1,3))+($C8-1)*16</f>
        <v>9</v>
      </c>
      <c r="G8" s="5">
        <f>INDEX(Ladder!$B$5:$E$20,MATCH($D8,Ladder!$A$5:$A$20,0),IF($B8=2026,2,4))+($C8-1)*16</f>
        <v>11</v>
      </c>
      <c r="H8" s="5" t="str">
        <f t="shared" si="0"/>
        <v>#9-11</v>
      </c>
      <c r="I8" s="7">
        <f>ROUND(AVERAGEIFS('Pick Values'!$B$2:$B$81,'Pick Values'!$A$2:$A$81,"&gt;="&amp;$F8,'Pick Values'!$A$2:$A$81,"&lt;="&amp;$G8),0)</f>
        <v>1483</v>
      </c>
      <c r="J8" s="7">
        <f>IF($B8=2027,ROUND($I8*Ladder!$B$2,0),$I8)</f>
        <v>1335</v>
      </c>
    </row>
    <row r="9" spans="1:10" x14ac:dyDescent="0.3">
      <c r="A9" s="5">
        <v>7</v>
      </c>
      <c r="B9" s="5">
        <v>2027</v>
      </c>
      <c r="C9" s="5">
        <v>2</v>
      </c>
      <c r="D9" s="6" t="s">
        <v>11</v>
      </c>
      <c r="E9" s="13" t="s">
        <v>18</v>
      </c>
      <c r="F9" s="5">
        <f>INDEX(Ladder!$B$5:$E$20,MATCH($D9,Ladder!$A$5:$A$20,0),IF($B9=2026,1,3))+($C9-1)*16</f>
        <v>25</v>
      </c>
      <c r="G9" s="5">
        <f>INDEX(Ladder!$B$5:$E$20,MATCH($D9,Ladder!$A$5:$A$20,0),IF($B9=2026,2,4))+($C9-1)*16</f>
        <v>27</v>
      </c>
      <c r="H9" s="5" t="str">
        <f t="shared" si="0"/>
        <v>#25-27</v>
      </c>
      <c r="I9" s="7">
        <f>ROUND(AVERAGEIFS('Pick Values'!$B$2:$B$81,'Pick Values'!$A$2:$A$81,"&gt;="&amp;$F9,'Pick Values'!$A$2:$A$81,"&lt;="&amp;$G9),0)</f>
        <v>624</v>
      </c>
      <c r="J9" s="7">
        <f>IF($B9=2027,ROUND($I9*Ladder!$B$2,0),$I9)</f>
        <v>562</v>
      </c>
    </row>
    <row r="10" spans="1:10" x14ac:dyDescent="0.3">
      <c r="A10" s="5">
        <v>8</v>
      </c>
      <c r="B10" s="5">
        <v>2027</v>
      </c>
      <c r="C10" s="5">
        <v>3</v>
      </c>
      <c r="D10" s="6" t="s">
        <v>11</v>
      </c>
      <c r="E10" s="13" t="s">
        <v>11</v>
      </c>
      <c r="F10" s="5">
        <f>INDEX(Ladder!$B$5:$E$20,MATCH($D10,Ladder!$A$5:$A$20,0),IF($B10=2026,1,3))+($C10-1)*16</f>
        <v>41</v>
      </c>
      <c r="G10" s="5">
        <f>INDEX(Ladder!$B$5:$E$20,MATCH($D10,Ladder!$A$5:$A$20,0),IF($B10=2026,2,4))+($C10-1)*16</f>
        <v>43</v>
      </c>
      <c r="H10" s="5" t="str">
        <f t="shared" si="0"/>
        <v>#41-43</v>
      </c>
      <c r="I10" s="7">
        <f>ROUND(AVERAGEIFS('Pick Values'!$B$2:$B$81,'Pick Values'!$A$2:$A$81,"&gt;="&amp;$F10,'Pick Values'!$A$2:$A$81,"&lt;="&amp;$G10),0)</f>
        <v>500</v>
      </c>
      <c r="J10" s="7">
        <f>IF($B10=2027,ROUND($I10*Ladder!$B$2,0),$I10)</f>
        <v>450</v>
      </c>
    </row>
    <row r="11" spans="1:10" x14ac:dyDescent="0.3">
      <c r="A11" s="5">
        <v>9</v>
      </c>
      <c r="B11" s="5">
        <v>2027</v>
      </c>
      <c r="C11" s="5">
        <v>4</v>
      </c>
      <c r="D11" s="6" t="s">
        <v>11</v>
      </c>
      <c r="E11" s="13" t="s">
        <v>16</v>
      </c>
      <c r="F11" s="5">
        <f>INDEX(Ladder!$B$5:$E$20,MATCH($D11,Ladder!$A$5:$A$20,0),IF($B11=2026,1,3))+($C11-1)*16</f>
        <v>57</v>
      </c>
      <c r="G11" s="5">
        <f>INDEX(Ladder!$B$5:$E$20,MATCH($D11,Ladder!$A$5:$A$20,0),IF($B11=2026,2,4))+($C11-1)*16</f>
        <v>59</v>
      </c>
      <c r="H11" s="5" t="str">
        <f t="shared" si="0"/>
        <v>#57-59</v>
      </c>
      <c r="I11" s="7">
        <f>ROUND(AVERAGEIFS('Pick Values'!$B$2:$B$81,'Pick Values'!$A$2:$A$81,"&gt;="&amp;$F11,'Pick Values'!$A$2:$A$81,"&lt;="&amp;$G11),0)</f>
        <v>296</v>
      </c>
      <c r="J11" s="7">
        <f>IF($B11=2027,ROUND($I11*Ladder!$B$2,0),$I11)</f>
        <v>266</v>
      </c>
    </row>
    <row r="12" spans="1:10" x14ac:dyDescent="0.3">
      <c r="A12" s="5">
        <v>10</v>
      </c>
      <c r="B12" s="5">
        <v>2027</v>
      </c>
      <c r="C12" s="5">
        <v>5</v>
      </c>
      <c r="D12" s="6" t="s">
        <v>11</v>
      </c>
      <c r="E12" s="13" t="s">
        <v>11</v>
      </c>
      <c r="F12" s="5">
        <f>INDEX(Ladder!$B$5:$E$20,MATCH($D12,Ladder!$A$5:$A$20,0),IF($B12=2026,1,3))+($C12-1)*16</f>
        <v>73</v>
      </c>
      <c r="G12" s="5">
        <f>INDEX(Ladder!$B$5:$E$20,MATCH($D12,Ladder!$A$5:$A$20,0),IF($B12=2026,2,4))+($C12-1)*16</f>
        <v>75</v>
      </c>
      <c r="H12" s="5" t="str">
        <f t="shared" si="0"/>
        <v>#73-75</v>
      </c>
      <c r="I12" s="7">
        <f>ROUND(AVERAGEIFS('Pick Values'!$B$2:$B$81,'Pick Values'!$A$2:$A$81,"&gt;="&amp;$F12,'Pick Values'!$A$2:$A$81,"&lt;="&amp;$G12),0)</f>
        <v>167</v>
      </c>
      <c r="J12" s="7">
        <f>IF($B12=2027,ROUND($I12*Ladder!$B$2,0),$I12)</f>
        <v>150</v>
      </c>
    </row>
    <row r="13" spans="1:10" x14ac:dyDescent="0.3">
      <c r="A13" s="5">
        <v>11</v>
      </c>
      <c r="B13" s="5">
        <v>2026</v>
      </c>
      <c r="C13" s="5">
        <v>1</v>
      </c>
      <c r="D13" s="6" t="s">
        <v>12</v>
      </c>
      <c r="E13" s="13" t="s">
        <v>18</v>
      </c>
      <c r="F13" s="5">
        <f>INDEX(Ladder!$B$5:$E$20,MATCH($D13,Ladder!$A$5:$A$20,0),IF($B13=2026,1,3))+($C13-1)*16</f>
        <v>9</v>
      </c>
      <c r="G13" s="5">
        <f>INDEX(Ladder!$B$5:$E$20,MATCH($D13,Ladder!$A$5:$A$20,0),IF($B13=2026,2,4))+($C13-1)*16</f>
        <v>11</v>
      </c>
      <c r="H13" s="5" t="str">
        <f t="shared" si="0"/>
        <v>#9-11</v>
      </c>
      <c r="I13" s="7">
        <f>ROUND(AVERAGEIFS('Pick Values'!$B$2:$B$81,'Pick Values'!$A$2:$A$81,"&gt;="&amp;$F13,'Pick Values'!$A$2:$A$81,"&lt;="&amp;$G13),0)</f>
        <v>1483</v>
      </c>
      <c r="J13" s="7">
        <f>IF($B13=2027,ROUND($I13*Ladder!$B$2,0),$I13)</f>
        <v>1483</v>
      </c>
    </row>
    <row r="14" spans="1:10" x14ac:dyDescent="0.3">
      <c r="A14" s="5">
        <v>12</v>
      </c>
      <c r="B14" s="5">
        <v>2026</v>
      </c>
      <c r="C14" s="5">
        <v>2</v>
      </c>
      <c r="D14" s="6" t="s">
        <v>12</v>
      </c>
      <c r="E14" s="13" t="s">
        <v>16</v>
      </c>
      <c r="F14" s="5">
        <f>INDEX(Ladder!$B$5:$E$20,MATCH($D14,Ladder!$A$5:$A$20,0),IF($B14=2026,1,3))+($C14-1)*16</f>
        <v>25</v>
      </c>
      <c r="G14" s="5">
        <f>INDEX(Ladder!$B$5:$E$20,MATCH($D14,Ladder!$A$5:$A$20,0),IF($B14=2026,2,4))+($C14-1)*16</f>
        <v>27</v>
      </c>
      <c r="H14" s="5" t="str">
        <f t="shared" si="0"/>
        <v>#25-27</v>
      </c>
      <c r="I14" s="7">
        <f>ROUND(AVERAGEIFS('Pick Values'!$B$2:$B$81,'Pick Values'!$A$2:$A$81,"&gt;="&amp;$F14,'Pick Values'!$A$2:$A$81,"&lt;="&amp;$G14),0)</f>
        <v>624</v>
      </c>
      <c r="J14" s="7">
        <f>IF($B14=2027,ROUND($I14*Ladder!$B$2,0),$I14)</f>
        <v>624</v>
      </c>
    </row>
    <row r="15" spans="1:10" x14ac:dyDescent="0.3">
      <c r="A15" s="5">
        <v>13</v>
      </c>
      <c r="B15" s="5">
        <v>2026</v>
      </c>
      <c r="C15" s="5">
        <v>3</v>
      </c>
      <c r="D15" s="6" t="s">
        <v>12</v>
      </c>
      <c r="E15" s="13" t="s">
        <v>16</v>
      </c>
      <c r="F15" s="5">
        <f>INDEX(Ladder!$B$5:$E$20,MATCH($D15,Ladder!$A$5:$A$20,0),IF($B15=2026,1,3))+($C15-1)*16</f>
        <v>41</v>
      </c>
      <c r="G15" s="5">
        <f>INDEX(Ladder!$B$5:$E$20,MATCH($D15,Ladder!$A$5:$A$20,0),IF($B15=2026,2,4))+($C15-1)*16</f>
        <v>43</v>
      </c>
      <c r="H15" s="5" t="str">
        <f t="shared" si="0"/>
        <v>#41-43</v>
      </c>
      <c r="I15" s="7">
        <f>ROUND(AVERAGEIFS('Pick Values'!$B$2:$B$81,'Pick Values'!$A$2:$A$81,"&gt;="&amp;$F15,'Pick Values'!$A$2:$A$81,"&lt;="&amp;$G15),0)</f>
        <v>500</v>
      </c>
      <c r="J15" s="7">
        <f>IF($B15=2027,ROUND($I15*Ladder!$B$2,0),$I15)</f>
        <v>500</v>
      </c>
    </row>
    <row r="16" spans="1:10" x14ac:dyDescent="0.3">
      <c r="A16" s="5">
        <v>14</v>
      </c>
      <c r="B16" s="5">
        <v>2026</v>
      </c>
      <c r="C16" s="5">
        <v>4</v>
      </c>
      <c r="D16" s="6" t="s">
        <v>12</v>
      </c>
      <c r="E16" s="13" t="s">
        <v>12</v>
      </c>
      <c r="F16" s="5">
        <f>INDEX(Ladder!$B$5:$E$20,MATCH($D16,Ladder!$A$5:$A$20,0),IF($B16=2026,1,3))+($C16-1)*16</f>
        <v>57</v>
      </c>
      <c r="G16" s="5">
        <f>INDEX(Ladder!$B$5:$E$20,MATCH($D16,Ladder!$A$5:$A$20,0),IF($B16=2026,2,4))+($C16-1)*16</f>
        <v>59</v>
      </c>
      <c r="H16" s="5" t="str">
        <f t="shared" si="0"/>
        <v>#57-59</v>
      </c>
      <c r="I16" s="7">
        <f>ROUND(AVERAGEIFS('Pick Values'!$B$2:$B$81,'Pick Values'!$A$2:$A$81,"&gt;="&amp;$F16,'Pick Values'!$A$2:$A$81,"&lt;="&amp;$G16),0)</f>
        <v>296</v>
      </c>
      <c r="J16" s="7">
        <f>IF($B16=2027,ROUND($I16*Ladder!$B$2,0),$I16)</f>
        <v>296</v>
      </c>
    </row>
    <row r="17" spans="1:10" x14ac:dyDescent="0.3">
      <c r="A17" s="5">
        <v>15</v>
      </c>
      <c r="B17" s="5">
        <v>2026</v>
      </c>
      <c r="C17" s="5">
        <v>5</v>
      </c>
      <c r="D17" s="6" t="s">
        <v>12</v>
      </c>
      <c r="E17" s="13" t="s">
        <v>12</v>
      </c>
      <c r="F17" s="5">
        <f>INDEX(Ladder!$B$5:$E$20,MATCH($D17,Ladder!$A$5:$A$20,0),IF($B17=2026,1,3))+($C17-1)*16</f>
        <v>73</v>
      </c>
      <c r="G17" s="5">
        <f>INDEX(Ladder!$B$5:$E$20,MATCH($D17,Ladder!$A$5:$A$20,0),IF($B17=2026,2,4))+($C17-1)*16</f>
        <v>75</v>
      </c>
      <c r="H17" s="5" t="str">
        <f t="shared" si="0"/>
        <v>#73-75</v>
      </c>
      <c r="I17" s="7">
        <f>ROUND(AVERAGEIFS('Pick Values'!$B$2:$B$81,'Pick Values'!$A$2:$A$81,"&gt;="&amp;$F17,'Pick Values'!$A$2:$A$81,"&lt;="&amp;$G17),0)</f>
        <v>167</v>
      </c>
      <c r="J17" s="7">
        <f>IF($B17=2027,ROUND($I17*Ladder!$B$2,0),$I17)</f>
        <v>167</v>
      </c>
    </row>
    <row r="18" spans="1:10" x14ac:dyDescent="0.3">
      <c r="A18" s="5">
        <v>16</v>
      </c>
      <c r="B18" s="5">
        <v>2027</v>
      </c>
      <c r="C18" s="5">
        <v>1</v>
      </c>
      <c r="D18" s="6" t="s">
        <v>12</v>
      </c>
      <c r="E18" s="13" t="s">
        <v>11</v>
      </c>
      <c r="F18" s="5">
        <f>INDEX(Ladder!$B$5:$E$20,MATCH($D18,Ladder!$A$5:$A$20,0),IF($B18=2026,1,3))+($C18-1)*16</f>
        <v>9</v>
      </c>
      <c r="G18" s="5">
        <f>INDEX(Ladder!$B$5:$E$20,MATCH($D18,Ladder!$A$5:$A$20,0),IF($B18=2026,2,4))+($C18-1)*16</f>
        <v>11</v>
      </c>
      <c r="H18" s="5" t="str">
        <f t="shared" si="0"/>
        <v>#9-11</v>
      </c>
      <c r="I18" s="7">
        <f>ROUND(AVERAGEIFS('Pick Values'!$B$2:$B$81,'Pick Values'!$A$2:$A$81,"&gt;="&amp;$F18,'Pick Values'!$A$2:$A$81,"&lt;="&amp;$G18),0)</f>
        <v>1483</v>
      </c>
      <c r="J18" s="7">
        <f>IF($B18=2027,ROUND($I18*Ladder!$B$2,0),$I18)</f>
        <v>1335</v>
      </c>
    </row>
    <row r="19" spans="1:10" x14ac:dyDescent="0.3">
      <c r="A19" s="5">
        <v>17</v>
      </c>
      <c r="B19" s="5">
        <v>2027</v>
      </c>
      <c r="C19" s="5">
        <v>2</v>
      </c>
      <c r="D19" s="6" t="s">
        <v>12</v>
      </c>
      <c r="E19" s="13" t="s">
        <v>24</v>
      </c>
      <c r="F19" s="5">
        <f>INDEX(Ladder!$B$5:$E$20,MATCH($D19,Ladder!$A$5:$A$20,0),IF($B19=2026,1,3))+($C19-1)*16</f>
        <v>25</v>
      </c>
      <c r="G19" s="5">
        <f>INDEX(Ladder!$B$5:$E$20,MATCH($D19,Ladder!$A$5:$A$20,0),IF($B19=2026,2,4))+($C19-1)*16</f>
        <v>27</v>
      </c>
      <c r="H19" s="5" t="str">
        <f t="shared" si="0"/>
        <v>#25-27</v>
      </c>
      <c r="I19" s="7">
        <f>ROUND(AVERAGEIFS('Pick Values'!$B$2:$B$81,'Pick Values'!$A$2:$A$81,"&gt;="&amp;$F19,'Pick Values'!$A$2:$A$81,"&lt;="&amp;$G19),0)</f>
        <v>624</v>
      </c>
      <c r="J19" s="7">
        <f>IF($B19=2027,ROUND($I19*Ladder!$B$2,0),$I19)</f>
        <v>562</v>
      </c>
    </row>
    <row r="20" spans="1:10" x14ac:dyDescent="0.3">
      <c r="A20" s="5">
        <v>18</v>
      </c>
      <c r="B20" s="5">
        <v>2027</v>
      </c>
      <c r="C20" s="5">
        <v>3</v>
      </c>
      <c r="D20" s="6" t="s">
        <v>12</v>
      </c>
      <c r="E20" s="13" t="s">
        <v>18</v>
      </c>
      <c r="F20" s="5">
        <f>INDEX(Ladder!$B$5:$E$20,MATCH($D20,Ladder!$A$5:$A$20,0),IF($B20=2026,1,3))+($C20-1)*16</f>
        <v>41</v>
      </c>
      <c r="G20" s="5">
        <f>INDEX(Ladder!$B$5:$E$20,MATCH($D20,Ladder!$A$5:$A$20,0),IF($B20=2026,2,4))+($C20-1)*16</f>
        <v>43</v>
      </c>
      <c r="H20" s="5" t="str">
        <f t="shared" si="0"/>
        <v>#41-43</v>
      </c>
      <c r="I20" s="7">
        <f>ROUND(AVERAGEIFS('Pick Values'!$B$2:$B$81,'Pick Values'!$A$2:$A$81,"&gt;="&amp;$F20,'Pick Values'!$A$2:$A$81,"&lt;="&amp;$G20),0)</f>
        <v>500</v>
      </c>
      <c r="J20" s="7">
        <f>IF($B20=2027,ROUND($I20*Ladder!$B$2,0),$I20)</f>
        <v>450</v>
      </c>
    </row>
    <row r="21" spans="1:10" x14ac:dyDescent="0.3">
      <c r="A21" s="5">
        <v>19</v>
      </c>
      <c r="B21" s="5">
        <v>2027</v>
      </c>
      <c r="C21" s="5">
        <v>4</v>
      </c>
      <c r="D21" s="6" t="s">
        <v>12</v>
      </c>
      <c r="E21" s="13" t="s">
        <v>12</v>
      </c>
      <c r="F21" s="5">
        <f>INDEX(Ladder!$B$5:$E$20,MATCH($D21,Ladder!$A$5:$A$20,0),IF($B21=2026,1,3))+($C21-1)*16</f>
        <v>57</v>
      </c>
      <c r="G21" s="5">
        <f>INDEX(Ladder!$B$5:$E$20,MATCH($D21,Ladder!$A$5:$A$20,0),IF($B21=2026,2,4))+($C21-1)*16</f>
        <v>59</v>
      </c>
      <c r="H21" s="5" t="str">
        <f t="shared" si="0"/>
        <v>#57-59</v>
      </c>
      <c r="I21" s="7">
        <f>ROUND(AVERAGEIFS('Pick Values'!$B$2:$B$81,'Pick Values'!$A$2:$A$81,"&gt;="&amp;$F21,'Pick Values'!$A$2:$A$81,"&lt;="&amp;$G21),0)</f>
        <v>296</v>
      </c>
      <c r="J21" s="7">
        <f>IF($B21=2027,ROUND($I21*Ladder!$B$2,0),$I21)</f>
        <v>266</v>
      </c>
    </row>
    <row r="22" spans="1:10" x14ac:dyDescent="0.3">
      <c r="A22" s="5">
        <v>20</v>
      </c>
      <c r="B22" s="5">
        <v>2027</v>
      </c>
      <c r="C22" s="5">
        <v>5</v>
      </c>
      <c r="D22" s="6" t="s">
        <v>12</v>
      </c>
      <c r="E22" s="13" t="s">
        <v>12</v>
      </c>
      <c r="F22" s="5">
        <f>INDEX(Ladder!$B$5:$E$20,MATCH($D22,Ladder!$A$5:$A$20,0),IF($B22=2026,1,3))+($C22-1)*16</f>
        <v>73</v>
      </c>
      <c r="G22" s="5">
        <f>INDEX(Ladder!$B$5:$E$20,MATCH($D22,Ladder!$A$5:$A$20,0),IF($B22=2026,2,4))+($C22-1)*16</f>
        <v>75</v>
      </c>
      <c r="H22" s="5" t="str">
        <f t="shared" si="0"/>
        <v>#73-75</v>
      </c>
      <c r="I22" s="7">
        <f>ROUND(AVERAGEIFS('Pick Values'!$B$2:$B$81,'Pick Values'!$A$2:$A$81,"&gt;="&amp;$F22,'Pick Values'!$A$2:$A$81,"&lt;="&amp;$G22),0)</f>
        <v>167</v>
      </c>
      <c r="J22" s="7">
        <f>IF($B22=2027,ROUND($I22*Ladder!$B$2,0),$I22)</f>
        <v>150</v>
      </c>
    </row>
    <row r="23" spans="1:10" x14ac:dyDescent="0.3">
      <c r="A23" s="5">
        <v>21</v>
      </c>
      <c r="B23" s="5">
        <v>2026</v>
      </c>
      <c r="C23" s="5">
        <v>1</v>
      </c>
      <c r="D23" s="6" t="s">
        <v>13</v>
      </c>
      <c r="E23" s="13" t="s">
        <v>18</v>
      </c>
      <c r="F23" s="5">
        <f>INDEX(Ladder!$B$5:$E$20,MATCH($D23,Ladder!$A$5:$A$20,0),IF($B23=2026,1,3))+($C23-1)*16</f>
        <v>8</v>
      </c>
      <c r="G23" s="5">
        <f>INDEX(Ladder!$B$5:$E$20,MATCH($D23,Ladder!$A$5:$A$20,0),IF($B23=2026,2,4))+($C23-1)*16</f>
        <v>8</v>
      </c>
      <c r="H23" s="5" t="str">
        <f t="shared" si="0"/>
        <v>#8</v>
      </c>
      <c r="I23" s="7">
        <f>ROUND(AVERAGEIFS('Pick Values'!$B$2:$B$81,'Pick Values'!$A$2:$A$81,"&gt;="&amp;$F23,'Pick Values'!$A$2:$A$81,"&lt;="&amp;$G23),0)</f>
        <v>1694</v>
      </c>
      <c r="J23" s="7">
        <f>IF($B23=2027,ROUND($I23*Ladder!$B$2,0),$I23)</f>
        <v>1694</v>
      </c>
    </row>
    <row r="24" spans="1:10" x14ac:dyDescent="0.3">
      <c r="A24" s="5">
        <v>22</v>
      </c>
      <c r="B24" s="5">
        <v>2026</v>
      </c>
      <c r="C24" s="5">
        <v>2</v>
      </c>
      <c r="D24" s="6" t="s">
        <v>13</v>
      </c>
      <c r="E24" s="13" t="s">
        <v>16</v>
      </c>
      <c r="F24" s="5">
        <f>INDEX(Ladder!$B$5:$E$20,MATCH($D24,Ladder!$A$5:$A$20,0),IF($B24=2026,1,3))+($C24-1)*16</f>
        <v>24</v>
      </c>
      <c r="G24" s="5">
        <f>INDEX(Ladder!$B$5:$E$20,MATCH($D24,Ladder!$A$5:$A$20,0),IF($B24=2026,2,4))+($C24-1)*16</f>
        <v>24</v>
      </c>
      <c r="H24" s="5" t="str">
        <f t="shared" si="0"/>
        <v>#24</v>
      </c>
      <c r="I24" s="7">
        <f>ROUND(AVERAGEIFS('Pick Values'!$B$2:$B$81,'Pick Values'!$A$2:$A$81,"&gt;="&amp;$F24,'Pick Values'!$A$2:$A$81,"&lt;="&amp;$G24),0)</f>
        <v>627</v>
      </c>
      <c r="J24" s="7">
        <f>IF($B24=2027,ROUND($I24*Ladder!$B$2,0),$I24)</f>
        <v>627</v>
      </c>
    </row>
    <row r="25" spans="1:10" x14ac:dyDescent="0.3">
      <c r="A25" s="5">
        <v>23</v>
      </c>
      <c r="B25" s="5">
        <v>2026</v>
      </c>
      <c r="C25" s="5">
        <v>3</v>
      </c>
      <c r="D25" s="6" t="s">
        <v>13</v>
      </c>
      <c r="E25" s="13" t="s">
        <v>23</v>
      </c>
      <c r="F25" s="5">
        <f>INDEX(Ladder!$B$5:$E$20,MATCH($D25,Ladder!$A$5:$A$20,0),IF($B25=2026,1,3))+($C25-1)*16</f>
        <v>40</v>
      </c>
      <c r="G25" s="5">
        <f>INDEX(Ladder!$B$5:$E$20,MATCH($D25,Ladder!$A$5:$A$20,0),IF($B25=2026,2,4))+($C25-1)*16</f>
        <v>40</v>
      </c>
      <c r="H25" s="5" t="str">
        <f t="shared" si="0"/>
        <v>#40</v>
      </c>
      <c r="I25" s="7">
        <f>ROUND(AVERAGEIFS('Pick Values'!$B$2:$B$81,'Pick Values'!$A$2:$A$81,"&gt;="&amp;$F25,'Pick Values'!$A$2:$A$81,"&lt;="&amp;$G25),0)</f>
        <v>525</v>
      </c>
      <c r="J25" s="7">
        <f>IF($B25=2027,ROUND($I25*Ladder!$B$2,0),$I25)</f>
        <v>525</v>
      </c>
    </row>
    <row r="26" spans="1:10" x14ac:dyDescent="0.3">
      <c r="A26" s="5">
        <v>24</v>
      </c>
      <c r="B26" s="5">
        <v>2026</v>
      </c>
      <c r="C26" s="5">
        <v>4</v>
      </c>
      <c r="D26" s="6" t="s">
        <v>13</v>
      </c>
      <c r="E26" s="13" t="s">
        <v>13</v>
      </c>
      <c r="F26" s="5">
        <f>INDEX(Ladder!$B$5:$E$20,MATCH($D26,Ladder!$A$5:$A$20,0),IF($B26=2026,1,3))+($C26-1)*16</f>
        <v>56</v>
      </c>
      <c r="G26" s="5">
        <f>INDEX(Ladder!$B$5:$E$20,MATCH($D26,Ladder!$A$5:$A$20,0),IF($B26=2026,2,4))+($C26-1)*16</f>
        <v>56</v>
      </c>
      <c r="H26" s="5" t="str">
        <f t="shared" si="0"/>
        <v>#56</v>
      </c>
      <c r="I26" s="7">
        <f>ROUND(AVERAGEIFS('Pick Values'!$B$2:$B$81,'Pick Values'!$A$2:$A$81,"&gt;="&amp;$F26,'Pick Values'!$A$2:$A$81,"&lt;="&amp;$G26),0)</f>
        <v>320</v>
      </c>
      <c r="J26" s="7">
        <f>IF($B26=2027,ROUND($I26*Ladder!$B$2,0),$I26)</f>
        <v>320</v>
      </c>
    </row>
    <row r="27" spans="1:10" x14ac:dyDescent="0.3">
      <c r="A27" s="5">
        <v>25</v>
      </c>
      <c r="B27" s="5">
        <v>2026</v>
      </c>
      <c r="C27" s="5">
        <v>5</v>
      </c>
      <c r="D27" s="6" t="s">
        <v>13</v>
      </c>
      <c r="E27" s="13" t="s">
        <v>22</v>
      </c>
      <c r="F27" s="5">
        <f>INDEX(Ladder!$B$5:$E$20,MATCH($D27,Ladder!$A$5:$A$20,0),IF($B27=2026,1,3))+($C27-1)*16</f>
        <v>72</v>
      </c>
      <c r="G27" s="5">
        <f>INDEX(Ladder!$B$5:$E$20,MATCH($D27,Ladder!$A$5:$A$20,0),IF($B27=2026,2,4))+($C27-1)*16</f>
        <v>72</v>
      </c>
      <c r="H27" s="5" t="str">
        <f t="shared" si="0"/>
        <v>#72</v>
      </c>
      <c r="I27" s="7">
        <f>ROUND(AVERAGEIFS('Pick Values'!$B$2:$B$81,'Pick Values'!$A$2:$A$81,"&gt;="&amp;$F27,'Pick Values'!$A$2:$A$81,"&lt;="&amp;$G27),0)</f>
        <v>180</v>
      </c>
      <c r="J27" s="7">
        <f>IF($B27=2027,ROUND($I27*Ladder!$B$2,0),$I27)</f>
        <v>180</v>
      </c>
    </row>
    <row r="28" spans="1:10" x14ac:dyDescent="0.3">
      <c r="A28" s="5">
        <v>26</v>
      </c>
      <c r="B28" s="5">
        <v>2027</v>
      </c>
      <c r="C28" s="5">
        <v>1</v>
      </c>
      <c r="D28" s="6" t="s">
        <v>13</v>
      </c>
      <c r="E28" s="13" t="s">
        <v>17</v>
      </c>
      <c r="F28" s="5">
        <f>INDEX(Ladder!$B$5:$E$20,MATCH($D28,Ladder!$A$5:$A$20,0),IF($B28=2026,1,3))+($C28-1)*16</f>
        <v>8</v>
      </c>
      <c r="G28" s="5">
        <f>INDEX(Ladder!$B$5:$E$20,MATCH($D28,Ladder!$A$5:$A$20,0),IF($B28=2026,2,4))+($C28-1)*16</f>
        <v>8</v>
      </c>
      <c r="H28" s="5" t="str">
        <f t="shared" si="0"/>
        <v>#8</v>
      </c>
      <c r="I28" s="7">
        <f>ROUND(AVERAGEIFS('Pick Values'!$B$2:$B$81,'Pick Values'!$A$2:$A$81,"&gt;="&amp;$F28,'Pick Values'!$A$2:$A$81,"&lt;="&amp;$G28),0)</f>
        <v>1694</v>
      </c>
      <c r="J28" s="7">
        <f>IF($B28=2027,ROUND($I28*Ladder!$B$2,0),$I28)</f>
        <v>1525</v>
      </c>
    </row>
    <row r="29" spans="1:10" x14ac:dyDescent="0.3">
      <c r="A29" s="5">
        <v>27</v>
      </c>
      <c r="B29" s="5">
        <v>2027</v>
      </c>
      <c r="C29" s="5">
        <v>2</v>
      </c>
      <c r="D29" s="6" t="s">
        <v>13</v>
      </c>
      <c r="E29" s="13" t="s">
        <v>23</v>
      </c>
      <c r="F29" s="5">
        <f>INDEX(Ladder!$B$5:$E$20,MATCH($D29,Ladder!$A$5:$A$20,0),IF($B29=2026,1,3))+($C29-1)*16</f>
        <v>24</v>
      </c>
      <c r="G29" s="5">
        <f>INDEX(Ladder!$B$5:$E$20,MATCH($D29,Ladder!$A$5:$A$20,0),IF($B29=2026,2,4))+($C29-1)*16</f>
        <v>24</v>
      </c>
      <c r="H29" s="5" t="str">
        <f t="shared" si="0"/>
        <v>#24</v>
      </c>
      <c r="I29" s="7">
        <f>ROUND(AVERAGEIFS('Pick Values'!$B$2:$B$81,'Pick Values'!$A$2:$A$81,"&gt;="&amp;$F29,'Pick Values'!$A$2:$A$81,"&lt;="&amp;$G29),0)</f>
        <v>627</v>
      </c>
      <c r="J29" s="7">
        <f>IF($B29=2027,ROUND($I29*Ladder!$B$2,0),$I29)</f>
        <v>564</v>
      </c>
    </row>
    <row r="30" spans="1:10" x14ac:dyDescent="0.3">
      <c r="A30" s="5">
        <v>28</v>
      </c>
      <c r="B30" s="5">
        <v>2027</v>
      </c>
      <c r="C30" s="5">
        <v>3</v>
      </c>
      <c r="D30" s="6" t="s">
        <v>13</v>
      </c>
      <c r="E30" s="13" t="s">
        <v>14</v>
      </c>
      <c r="F30" s="5">
        <f>INDEX(Ladder!$B$5:$E$20,MATCH($D30,Ladder!$A$5:$A$20,0),IF($B30=2026,1,3))+($C30-1)*16</f>
        <v>40</v>
      </c>
      <c r="G30" s="5">
        <f>INDEX(Ladder!$B$5:$E$20,MATCH($D30,Ladder!$A$5:$A$20,0),IF($B30=2026,2,4))+($C30-1)*16</f>
        <v>40</v>
      </c>
      <c r="H30" s="5" t="str">
        <f t="shared" si="0"/>
        <v>#40</v>
      </c>
      <c r="I30" s="7">
        <f>ROUND(AVERAGEIFS('Pick Values'!$B$2:$B$81,'Pick Values'!$A$2:$A$81,"&gt;="&amp;$F30,'Pick Values'!$A$2:$A$81,"&lt;="&amp;$G30),0)</f>
        <v>525</v>
      </c>
      <c r="J30" s="7">
        <f>IF($B30=2027,ROUND($I30*Ladder!$B$2,0),$I30)</f>
        <v>473</v>
      </c>
    </row>
    <row r="31" spans="1:10" x14ac:dyDescent="0.3">
      <c r="A31" s="5">
        <v>29</v>
      </c>
      <c r="B31" s="5">
        <v>2027</v>
      </c>
      <c r="C31" s="5">
        <v>4</v>
      </c>
      <c r="D31" s="6" t="s">
        <v>13</v>
      </c>
      <c r="E31" s="13" t="s">
        <v>13</v>
      </c>
      <c r="F31" s="5">
        <f>INDEX(Ladder!$B$5:$E$20,MATCH($D31,Ladder!$A$5:$A$20,0),IF($B31=2026,1,3))+($C31-1)*16</f>
        <v>56</v>
      </c>
      <c r="G31" s="5">
        <f>INDEX(Ladder!$B$5:$E$20,MATCH($D31,Ladder!$A$5:$A$20,0),IF($B31=2026,2,4))+($C31-1)*16</f>
        <v>56</v>
      </c>
      <c r="H31" s="5" t="str">
        <f t="shared" si="0"/>
        <v>#56</v>
      </c>
      <c r="I31" s="7">
        <f>ROUND(AVERAGEIFS('Pick Values'!$B$2:$B$81,'Pick Values'!$A$2:$A$81,"&gt;="&amp;$F31,'Pick Values'!$A$2:$A$81,"&lt;="&amp;$G31),0)</f>
        <v>320</v>
      </c>
      <c r="J31" s="7">
        <f>IF($B31=2027,ROUND($I31*Ladder!$B$2,0),$I31)</f>
        <v>288</v>
      </c>
    </row>
    <row r="32" spans="1:10" x14ac:dyDescent="0.3">
      <c r="A32" s="5">
        <v>30</v>
      </c>
      <c r="B32" s="5">
        <v>2027</v>
      </c>
      <c r="C32" s="5">
        <v>5</v>
      </c>
      <c r="D32" s="6" t="s">
        <v>13</v>
      </c>
      <c r="E32" s="13" t="s">
        <v>13</v>
      </c>
      <c r="F32" s="5">
        <f>INDEX(Ladder!$B$5:$E$20,MATCH($D32,Ladder!$A$5:$A$20,0),IF($B32=2026,1,3))+($C32-1)*16</f>
        <v>72</v>
      </c>
      <c r="G32" s="5">
        <f>INDEX(Ladder!$B$5:$E$20,MATCH($D32,Ladder!$A$5:$A$20,0),IF($B32=2026,2,4))+($C32-1)*16</f>
        <v>72</v>
      </c>
      <c r="H32" s="5" t="str">
        <f t="shared" si="0"/>
        <v>#72</v>
      </c>
      <c r="I32" s="7">
        <f>ROUND(AVERAGEIFS('Pick Values'!$B$2:$B$81,'Pick Values'!$A$2:$A$81,"&gt;="&amp;$F32,'Pick Values'!$A$2:$A$81,"&lt;="&amp;$G32),0)</f>
        <v>180</v>
      </c>
      <c r="J32" s="7">
        <f>IF($B32=2027,ROUND($I32*Ladder!$B$2,0),$I32)</f>
        <v>162</v>
      </c>
    </row>
    <row r="33" spans="1:10" x14ac:dyDescent="0.3">
      <c r="A33" s="5">
        <v>31</v>
      </c>
      <c r="B33" s="5">
        <v>2026</v>
      </c>
      <c r="C33" s="5">
        <v>1</v>
      </c>
      <c r="D33" s="6" t="s">
        <v>14</v>
      </c>
      <c r="E33" s="13" t="s">
        <v>14</v>
      </c>
      <c r="F33" s="5">
        <f>INDEX(Ladder!$B$5:$E$20,MATCH($D33,Ladder!$A$5:$A$20,0),IF($B33=2026,1,3))+($C33-1)*16</f>
        <v>6</v>
      </c>
      <c r="G33" s="5">
        <f>INDEX(Ladder!$B$5:$E$20,MATCH($D33,Ladder!$A$5:$A$20,0),IF($B33=2026,2,4))+($C33-1)*16</f>
        <v>7</v>
      </c>
      <c r="H33" s="5" t="str">
        <f t="shared" si="0"/>
        <v>#6-7</v>
      </c>
      <c r="I33" s="7">
        <f>ROUND(AVERAGEIFS('Pick Values'!$B$2:$B$81,'Pick Values'!$A$2:$A$81,"&gt;="&amp;$F33,'Pick Values'!$A$2:$A$81,"&lt;="&amp;$G33),0)</f>
        <v>1824</v>
      </c>
      <c r="J33" s="7">
        <f>IF($B33=2027,ROUND($I33*Ladder!$B$2,0),$I33)</f>
        <v>1824</v>
      </c>
    </row>
    <row r="34" spans="1:10" x14ac:dyDescent="0.3">
      <c r="A34" s="5">
        <v>32</v>
      </c>
      <c r="B34" s="5">
        <v>2026</v>
      </c>
      <c r="C34" s="5">
        <v>2</v>
      </c>
      <c r="D34" s="6" t="s">
        <v>14</v>
      </c>
      <c r="E34" s="13" t="s">
        <v>14</v>
      </c>
      <c r="F34" s="5">
        <f>INDEX(Ladder!$B$5:$E$20,MATCH($D34,Ladder!$A$5:$A$20,0),IF($B34=2026,1,3))+($C34-1)*16</f>
        <v>22</v>
      </c>
      <c r="G34" s="5">
        <f>INDEX(Ladder!$B$5:$E$20,MATCH($D34,Ladder!$A$5:$A$20,0),IF($B34=2026,2,4))+($C34-1)*16</f>
        <v>23</v>
      </c>
      <c r="H34" s="5" t="str">
        <f t="shared" si="0"/>
        <v>#22-23</v>
      </c>
      <c r="I34" s="7">
        <f>ROUND(AVERAGEIFS('Pick Values'!$B$2:$B$81,'Pick Values'!$A$2:$A$81,"&gt;="&amp;$F34,'Pick Values'!$A$2:$A$81,"&lt;="&amp;$G34),0)</f>
        <v>643</v>
      </c>
      <c r="J34" s="7">
        <f>IF($B34=2027,ROUND($I34*Ladder!$B$2,0),$I34)</f>
        <v>643</v>
      </c>
    </row>
    <row r="35" spans="1:10" x14ac:dyDescent="0.3">
      <c r="A35" s="5">
        <v>33</v>
      </c>
      <c r="B35" s="5">
        <v>2026</v>
      </c>
      <c r="C35" s="5">
        <v>3</v>
      </c>
      <c r="D35" s="6" t="s">
        <v>14</v>
      </c>
      <c r="E35" s="13" t="s">
        <v>11</v>
      </c>
      <c r="F35" s="5">
        <f>INDEX(Ladder!$B$5:$E$20,MATCH($D35,Ladder!$A$5:$A$20,0),IF($B35=2026,1,3))+($C35-1)*16</f>
        <v>38</v>
      </c>
      <c r="G35" s="5">
        <f>INDEX(Ladder!$B$5:$E$20,MATCH($D35,Ladder!$A$5:$A$20,0),IF($B35=2026,2,4))+($C35-1)*16</f>
        <v>39</v>
      </c>
      <c r="H35" s="5" t="str">
        <f t="shared" si="0"/>
        <v>#38-39</v>
      </c>
      <c r="I35" s="7">
        <f>ROUND(AVERAGEIFS('Pick Values'!$B$2:$B$81,'Pick Values'!$A$2:$A$81,"&gt;="&amp;$F35,'Pick Values'!$A$2:$A$81,"&lt;="&amp;$G35),0)</f>
        <v>540</v>
      </c>
      <c r="J35" s="7">
        <f>IF($B35=2027,ROUND($I35*Ladder!$B$2,0),$I35)</f>
        <v>540</v>
      </c>
    </row>
    <row r="36" spans="1:10" x14ac:dyDescent="0.3">
      <c r="A36" s="5">
        <v>34</v>
      </c>
      <c r="B36" s="5">
        <v>2026</v>
      </c>
      <c r="C36" s="5">
        <v>4</v>
      </c>
      <c r="D36" s="6" t="s">
        <v>14</v>
      </c>
      <c r="E36" s="13" t="s">
        <v>18</v>
      </c>
      <c r="F36" s="5">
        <f>INDEX(Ladder!$B$5:$E$20,MATCH($D36,Ladder!$A$5:$A$20,0),IF($B36=2026,1,3))+($C36-1)*16</f>
        <v>54</v>
      </c>
      <c r="G36" s="5">
        <f>INDEX(Ladder!$B$5:$E$20,MATCH($D36,Ladder!$A$5:$A$20,0),IF($B36=2026,2,4))+($C36-1)*16</f>
        <v>55</v>
      </c>
      <c r="H36" s="5" t="str">
        <f t="shared" si="0"/>
        <v>#54-55</v>
      </c>
      <c r="I36" s="7">
        <f>ROUND(AVERAGEIFS('Pick Values'!$B$2:$B$81,'Pick Values'!$A$2:$A$81,"&gt;="&amp;$F36,'Pick Values'!$A$2:$A$81,"&lt;="&amp;$G36),0)</f>
        <v>340</v>
      </c>
      <c r="J36" s="7">
        <f>IF($B36=2027,ROUND($I36*Ladder!$B$2,0),$I36)</f>
        <v>340</v>
      </c>
    </row>
    <row r="37" spans="1:10" x14ac:dyDescent="0.3">
      <c r="A37" s="5">
        <v>35</v>
      </c>
      <c r="B37" s="5">
        <v>2026</v>
      </c>
      <c r="C37" s="5">
        <v>5</v>
      </c>
      <c r="D37" s="6" t="s">
        <v>14</v>
      </c>
      <c r="E37" s="13" t="s">
        <v>13</v>
      </c>
      <c r="F37" s="5">
        <f>INDEX(Ladder!$B$5:$E$20,MATCH($D37,Ladder!$A$5:$A$20,0),IF($B37=2026,1,3))+($C37-1)*16</f>
        <v>70</v>
      </c>
      <c r="G37" s="5">
        <f>INDEX(Ladder!$B$5:$E$20,MATCH($D37,Ladder!$A$5:$A$20,0),IF($B37=2026,2,4))+($C37-1)*16</f>
        <v>71</v>
      </c>
      <c r="H37" s="5" t="str">
        <f t="shared" si="0"/>
        <v>#70-71</v>
      </c>
      <c r="I37" s="7">
        <f>ROUND(AVERAGEIFS('Pick Values'!$B$2:$B$81,'Pick Values'!$A$2:$A$81,"&gt;="&amp;$F37,'Pick Values'!$A$2:$A$81,"&lt;="&amp;$G37),0)</f>
        <v>191</v>
      </c>
      <c r="J37" s="7">
        <f>IF($B37=2027,ROUND($I37*Ladder!$B$2,0),$I37)</f>
        <v>191</v>
      </c>
    </row>
    <row r="38" spans="1:10" x14ac:dyDescent="0.3">
      <c r="A38" s="5">
        <v>36</v>
      </c>
      <c r="B38" s="5">
        <v>2027</v>
      </c>
      <c r="C38" s="5">
        <v>1</v>
      </c>
      <c r="D38" s="6" t="s">
        <v>14</v>
      </c>
      <c r="E38" s="13" t="s">
        <v>14</v>
      </c>
      <c r="F38" s="5">
        <f>INDEX(Ladder!$B$5:$E$20,MATCH($D38,Ladder!$A$5:$A$20,0),IF($B38=2026,1,3))+($C38-1)*16</f>
        <v>6</v>
      </c>
      <c r="G38" s="5">
        <f>INDEX(Ladder!$B$5:$E$20,MATCH($D38,Ladder!$A$5:$A$20,0),IF($B38=2026,2,4))+($C38-1)*16</f>
        <v>7</v>
      </c>
      <c r="H38" s="5" t="str">
        <f t="shared" si="0"/>
        <v>#6-7</v>
      </c>
      <c r="I38" s="7">
        <f>ROUND(AVERAGEIFS('Pick Values'!$B$2:$B$81,'Pick Values'!$A$2:$A$81,"&gt;="&amp;$F38,'Pick Values'!$A$2:$A$81,"&lt;="&amp;$G38),0)</f>
        <v>1824</v>
      </c>
      <c r="J38" s="7">
        <f>IF($B38=2027,ROUND($I38*Ladder!$B$2,0),$I38)</f>
        <v>1642</v>
      </c>
    </row>
    <row r="39" spans="1:10" x14ac:dyDescent="0.3">
      <c r="A39" s="5">
        <v>37</v>
      </c>
      <c r="B39" s="5">
        <v>2027</v>
      </c>
      <c r="C39" s="5">
        <v>2</v>
      </c>
      <c r="D39" s="6" t="s">
        <v>14</v>
      </c>
      <c r="E39" s="13" t="s">
        <v>14</v>
      </c>
      <c r="F39" s="5">
        <f>INDEX(Ladder!$B$5:$E$20,MATCH($D39,Ladder!$A$5:$A$20,0),IF($B39=2026,1,3))+($C39-1)*16</f>
        <v>22</v>
      </c>
      <c r="G39" s="5">
        <f>INDEX(Ladder!$B$5:$E$20,MATCH($D39,Ladder!$A$5:$A$20,0),IF($B39=2026,2,4))+($C39-1)*16</f>
        <v>23</v>
      </c>
      <c r="H39" s="5" t="str">
        <f t="shared" si="0"/>
        <v>#22-23</v>
      </c>
      <c r="I39" s="7">
        <f>ROUND(AVERAGEIFS('Pick Values'!$B$2:$B$81,'Pick Values'!$A$2:$A$81,"&gt;="&amp;$F39,'Pick Values'!$A$2:$A$81,"&lt;="&amp;$G39),0)</f>
        <v>643</v>
      </c>
      <c r="J39" s="7">
        <f>IF($B39=2027,ROUND($I39*Ladder!$B$2,0),$I39)</f>
        <v>579</v>
      </c>
    </row>
    <row r="40" spans="1:10" x14ac:dyDescent="0.3">
      <c r="A40" s="5">
        <v>38</v>
      </c>
      <c r="B40" s="5">
        <v>2027</v>
      </c>
      <c r="C40" s="5">
        <v>3</v>
      </c>
      <c r="D40" s="6" t="s">
        <v>14</v>
      </c>
      <c r="E40" s="13" t="s">
        <v>16</v>
      </c>
      <c r="F40" s="5">
        <f>INDEX(Ladder!$B$5:$E$20,MATCH($D40,Ladder!$A$5:$A$20,0),IF($B40=2026,1,3))+($C40-1)*16</f>
        <v>38</v>
      </c>
      <c r="G40" s="5">
        <f>INDEX(Ladder!$B$5:$E$20,MATCH($D40,Ladder!$A$5:$A$20,0),IF($B40=2026,2,4))+($C40-1)*16</f>
        <v>39</v>
      </c>
      <c r="H40" s="5" t="str">
        <f t="shared" si="0"/>
        <v>#38-39</v>
      </c>
      <c r="I40" s="7">
        <f>ROUND(AVERAGEIFS('Pick Values'!$B$2:$B$81,'Pick Values'!$A$2:$A$81,"&gt;="&amp;$F40,'Pick Values'!$A$2:$A$81,"&lt;="&amp;$G40),0)</f>
        <v>540</v>
      </c>
      <c r="J40" s="7">
        <f>IF($B40=2027,ROUND($I40*Ladder!$B$2,0),$I40)</f>
        <v>486</v>
      </c>
    </row>
    <row r="41" spans="1:10" x14ac:dyDescent="0.3">
      <c r="A41" s="5">
        <v>39</v>
      </c>
      <c r="B41" s="5">
        <v>2027</v>
      </c>
      <c r="C41" s="5">
        <v>4</v>
      </c>
      <c r="D41" s="6" t="s">
        <v>14</v>
      </c>
      <c r="E41" s="13" t="s">
        <v>18</v>
      </c>
      <c r="F41" s="5">
        <f>INDEX(Ladder!$B$5:$E$20,MATCH($D41,Ladder!$A$5:$A$20,0),IF($B41=2026,1,3))+($C41-1)*16</f>
        <v>54</v>
      </c>
      <c r="G41" s="5">
        <f>INDEX(Ladder!$B$5:$E$20,MATCH($D41,Ladder!$A$5:$A$20,0),IF($B41=2026,2,4))+($C41-1)*16</f>
        <v>55</v>
      </c>
      <c r="H41" s="5" t="str">
        <f t="shared" si="0"/>
        <v>#54-55</v>
      </c>
      <c r="I41" s="7">
        <f>ROUND(AVERAGEIFS('Pick Values'!$B$2:$B$81,'Pick Values'!$A$2:$A$81,"&gt;="&amp;$F41,'Pick Values'!$A$2:$A$81,"&lt;="&amp;$G41),0)</f>
        <v>340</v>
      </c>
      <c r="J41" s="7">
        <f>IF($B41=2027,ROUND($I41*Ladder!$B$2,0),$I41)</f>
        <v>306</v>
      </c>
    </row>
    <row r="42" spans="1:10" x14ac:dyDescent="0.3">
      <c r="A42" s="5">
        <v>40</v>
      </c>
      <c r="B42" s="5">
        <v>2027</v>
      </c>
      <c r="C42" s="5">
        <v>5</v>
      </c>
      <c r="D42" s="6" t="s">
        <v>14</v>
      </c>
      <c r="E42" s="13" t="s">
        <v>14</v>
      </c>
      <c r="F42" s="5">
        <f>INDEX(Ladder!$B$5:$E$20,MATCH($D42,Ladder!$A$5:$A$20,0),IF($B42=2026,1,3))+($C42-1)*16</f>
        <v>70</v>
      </c>
      <c r="G42" s="5">
        <f>INDEX(Ladder!$B$5:$E$20,MATCH($D42,Ladder!$A$5:$A$20,0),IF($B42=2026,2,4))+($C42-1)*16</f>
        <v>71</v>
      </c>
      <c r="H42" s="5" t="str">
        <f t="shared" si="0"/>
        <v>#70-71</v>
      </c>
      <c r="I42" s="7">
        <f>ROUND(AVERAGEIFS('Pick Values'!$B$2:$B$81,'Pick Values'!$A$2:$A$81,"&gt;="&amp;$F42,'Pick Values'!$A$2:$A$81,"&lt;="&amp;$G42),0)</f>
        <v>191</v>
      </c>
      <c r="J42" s="7">
        <f>IF($B42=2027,ROUND($I42*Ladder!$B$2,0),$I42)</f>
        <v>172</v>
      </c>
    </row>
    <row r="43" spans="1:10" x14ac:dyDescent="0.3">
      <c r="A43" s="5">
        <v>41</v>
      </c>
      <c r="B43" s="5">
        <v>2026</v>
      </c>
      <c r="C43" s="5">
        <v>1</v>
      </c>
      <c r="D43" s="6" t="s">
        <v>15</v>
      </c>
      <c r="E43" s="13" t="s">
        <v>24</v>
      </c>
      <c r="F43" s="5">
        <f>INDEX(Ladder!$B$5:$E$20,MATCH($D43,Ladder!$A$5:$A$20,0),IF($B43=2026,1,3))+($C43-1)*16</f>
        <v>3</v>
      </c>
      <c r="G43" s="5">
        <f>INDEX(Ladder!$B$5:$E$20,MATCH($D43,Ladder!$A$5:$A$20,0),IF($B43=2026,2,4))+($C43-1)*16</f>
        <v>4</v>
      </c>
      <c r="H43" s="5" t="str">
        <f t="shared" si="0"/>
        <v>#3-4</v>
      </c>
      <c r="I43" s="7">
        <f>ROUND(AVERAGEIFS('Pick Values'!$B$2:$B$81,'Pick Values'!$A$2:$A$81,"&gt;="&amp;$F43,'Pick Values'!$A$2:$A$81,"&lt;="&amp;$G43),0)</f>
        <v>2159</v>
      </c>
      <c r="J43" s="7">
        <f>IF($B43=2027,ROUND($I43*Ladder!$B$2,0),$I43)</f>
        <v>2159</v>
      </c>
    </row>
    <row r="44" spans="1:10" x14ac:dyDescent="0.3">
      <c r="A44" s="5">
        <v>42</v>
      </c>
      <c r="B44" s="5">
        <v>2026</v>
      </c>
      <c r="C44" s="5">
        <v>2</v>
      </c>
      <c r="D44" s="6" t="s">
        <v>15</v>
      </c>
      <c r="E44" s="13" t="s">
        <v>14</v>
      </c>
      <c r="F44" s="5">
        <f>INDEX(Ladder!$B$5:$E$20,MATCH($D44,Ladder!$A$5:$A$20,0),IF($B44=2026,1,3))+($C44-1)*16</f>
        <v>19</v>
      </c>
      <c r="G44" s="5">
        <f>INDEX(Ladder!$B$5:$E$20,MATCH($D44,Ladder!$A$5:$A$20,0),IF($B44=2026,2,4))+($C44-1)*16</f>
        <v>20</v>
      </c>
      <c r="H44" s="5" t="str">
        <f t="shared" si="0"/>
        <v>#19-20</v>
      </c>
      <c r="I44" s="7">
        <f>ROUND(AVERAGEIFS('Pick Values'!$B$2:$B$81,'Pick Values'!$A$2:$A$81,"&gt;="&amp;$F44,'Pick Values'!$A$2:$A$81,"&lt;="&amp;$G44),0)</f>
        <v>778</v>
      </c>
      <c r="J44" s="7">
        <f>IF($B44=2027,ROUND($I44*Ladder!$B$2,0),$I44)</f>
        <v>778</v>
      </c>
    </row>
    <row r="45" spans="1:10" x14ac:dyDescent="0.3">
      <c r="A45" s="5">
        <v>43</v>
      </c>
      <c r="B45" s="5">
        <v>2026</v>
      </c>
      <c r="C45" s="5">
        <v>3</v>
      </c>
      <c r="D45" s="6" t="s">
        <v>15</v>
      </c>
      <c r="E45" s="13" t="s">
        <v>26</v>
      </c>
      <c r="F45" s="5">
        <f>INDEX(Ladder!$B$5:$E$20,MATCH($D45,Ladder!$A$5:$A$20,0),IF($B45=2026,1,3))+($C45-1)*16</f>
        <v>35</v>
      </c>
      <c r="G45" s="5">
        <f>INDEX(Ladder!$B$5:$E$20,MATCH($D45,Ladder!$A$5:$A$20,0),IF($B45=2026,2,4))+($C45-1)*16</f>
        <v>36</v>
      </c>
      <c r="H45" s="5" t="str">
        <f t="shared" si="0"/>
        <v>#35-36</v>
      </c>
      <c r="I45" s="7">
        <f>ROUND(AVERAGEIFS('Pick Values'!$B$2:$B$81,'Pick Values'!$A$2:$A$81,"&gt;="&amp;$F45,'Pick Values'!$A$2:$A$81,"&lt;="&amp;$G45),0)</f>
        <v>570</v>
      </c>
      <c r="J45" s="7">
        <f>IF($B45=2027,ROUND($I45*Ladder!$B$2,0),$I45)</f>
        <v>570</v>
      </c>
    </row>
    <row r="46" spans="1:10" x14ac:dyDescent="0.3">
      <c r="A46" s="5">
        <v>44</v>
      </c>
      <c r="B46" s="5">
        <v>2026</v>
      </c>
      <c r="C46" s="5">
        <v>4</v>
      </c>
      <c r="D46" s="6" t="s">
        <v>15</v>
      </c>
      <c r="E46" s="13" t="s">
        <v>11</v>
      </c>
      <c r="F46" s="5">
        <f>INDEX(Ladder!$B$5:$E$20,MATCH($D46,Ladder!$A$5:$A$20,0),IF($B46=2026,1,3))+($C46-1)*16</f>
        <v>51</v>
      </c>
      <c r="G46" s="5">
        <f>INDEX(Ladder!$B$5:$E$20,MATCH($D46,Ladder!$A$5:$A$20,0),IF($B46=2026,2,4))+($C46-1)*16</f>
        <v>52</v>
      </c>
      <c r="H46" s="5" t="str">
        <f t="shared" si="0"/>
        <v>#51-52</v>
      </c>
      <c r="I46" s="7">
        <f>ROUND(AVERAGEIFS('Pick Values'!$B$2:$B$81,'Pick Values'!$A$2:$A$81,"&gt;="&amp;$F46,'Pick Values'!$A$2:$A$81,"&lt;="&amp;$G46),0)</f>
        <v>373</v>
      </c>
      <c r="J46" s="7">
        <f>IF($B46=2027,ROUND($I46*Ladder!$B$2,0),$I46)</f>
        <v>373</v>
      </c>
    </row>
    <row r="47" spans="1:10" x14ac:dyDescent="0.3">
      <c r="A47" s="5">
        <v>45</v>
      </c>
      <c r="B47" s="5">
        <v>2026</v>
      </c>
      <c r="C47" s="5">
        <v>5</v>
      </c>
      <c r="D47" s="6" t="s">
        <v>15</v>
      </c>
      <c r="E47" s="13" t="s">
        <v>23</v>
      </c>
      <c r="F47" s="5">
        <f>INDEX(Ladder!$B$5:$E$20,MATCH($D47,Ladder!$A$5:$A$20,0),IF($B47=2026,1,3))+($C47-1)*16</f>
        <v>67</v>
      </c>
      <c r="G47" s="5">
        <f>INDEX(Ladder!$B$5:$E$20,MATCH($D47,Ladder!$A$5:$A$20,0),IF($B47=2026,2,4))+($C47-1)*16</f>
        <v>68</v>
      </c>
      <c r="H47" s="5" t="str">
        <f t="shared" si="0"/>
        <v>#67-68</v>
      </c>
      <c r="I47" s="7">
        <f>ROUND(AVERAGEIFS('Pick Values'!$B$2:$B$81,'Pick Values'!$A$2:$A$81,"&gt;="&amp;$F47,'Pick Values'!$A$2:$A$81,"&lt;="&amp;$G47),0)</f>
        <v>213</v>
      </c>
      <c r="J47" s="7">
        <f>IF($B47=2027,ROUND($I47*Ladder!$B$2,0),$I47)</f>
        <v>213</v>
      </c>
    </row>
    <row r="48" spans="1:10" x14ac:dyDescent="0.3">
      <c r="A48" s="5">
        <v>46</v>
      </c>
      <c r="B48" s="5">
        <v>2027</v>
      </c>
      <c r="C48" s="5">
        <v>1</v>
      </c>
      <c r="D48" s="6" t="s">
        <v>15</v>
      </c>
      <c r="E48" s="13" t="s">
        <v>15</v>
      </c>
      <c r="F48" s="5">
        <f>INDEX(Ladder!$B$5:$E$20,MATCH($D48,Ladder!$A$5:$A$20,0),IF($B48=2026,1,3))+($C48-1)*16</f>
        <v>3</v>
      </c>
      <c r="G48" s="5">
        <f>INDEX(Ladder!$B$5:$E$20,MATCH($D48,Ladder!$A$5:$A$20,0),IF($B48=2026,2,4))+($C48-1)*16</f>
        <v>4</v>
      </c>
      <c r="H48" s="5" t="str">
        <f t="shared" si="0"/>
        <v>#3-4</v>
      </c>
      <c r="I48" s="7">
        <f>ROUND(AVERAGEIFS('Pick Values'!$B$2:$B$81,'Pick Values'!$A$2:$A$81,"&gt;="&amp;$F48,'Pick Values'!$A$2:$A$81,"&lt;="&amp;$G48),0)</f>
        <v>2159</v>
      </c>
      <c r="J48" s="7">
        <f>IF($B48=2027,ROUND($I48*Ladder!$B$2,0),$I48)</f>
        <v>1943</v>
      </c>
    </row>
    <row r="49" spans="1:10" x14ac:dyDescent="0.3">
      <c r="A49" s="5">
        <v>47</v>
      </c>
      <c r="B49" s="5">
        <v>2027</v>
      </c>
      <c r="C49" s="5">
        <v>2</v>
      </c>
      <c r="D49" s="6" t="s">
        <v>15</v>
      </c>
      <c r="E49" s="13" t="s">
        <v>20</v>
      </c>
      <c r="F49" s="5">
        <f>INDEX(Ladder!$B$5:$E$20,MATCH($D49,Ladder!$A$5:$A$20,0),IF($B49=2026,1,3))+($C49-1)*16</f>
        <v>19</v>
      </c>
      <c r="G49" s="5">
        <f>INDEX(Ladder!$B$5:$E$20,MATCH($D49,Ladder!$A$5:$A$20,0),IF($B49=2026,2,4))+($C49-1)*16</f>
        <v>20</v>
      </c>
      <c r="H49" s="5" t="str">
        <f t="shared" si="0"/>
        <v>#19-20</v>
      </c>
      <c r="I49" s="7">
        <f>ROUND(AVERAGEIFS('Pick Values'!$B$2:$B$81,'Pick Values'!$A$2:$A$81,"&gt;="&amp;$F49,'Pick Values'!$A$2:$A$81,"&lt;="&amp;$G49),0)</f>
        <v>778</v>
      </c>
      <c r="J49" s="7">
        <f>IF($B49=2027,ROUND($I49*Ladder!$B$2,0),$I49)</f>
        <v>700</v>
      </c>
    </row>
    <row r="50" spans="1:10" x14ac:dyDescent="0.3">
      <c r="A50" s="5">
        <v>48</v>
      </c>
      <c r="B50" s="5">
        <v>2027</v>
      </c>
      <c r="C50" s="5">
        <v>3</v>
      </c>
      <c r="D50" s="6" t="s">
        <v>15</v>
      </c>
      <c r="E50" s="13" t="s">
        <v>14</v>
      </c>
      <c r="F50" s="5">
        <f>INDEX(Ladder!$B$5:$E$20,MATCH($D50,Ladder!$A$5:$A$20,0),IF($B50=2026,1,3))+($C50-1)*16</f>
        <v>35</v>
      </c>
      <c r="G50" s="5">
        <f>INDEX(Ladder!$B$5:$E$20,MATCH($D50,Ladder!$A$5:$A$20,0),IF($B50=2026,2,4))+($C50-1)*16</f>
        <v>36</v>
      </c>
      <c r="H50" s="5" t="str">
        <f t="shared" si="0"/>
        <v>#35-36</v>
      </c>
      <c r="I50" s="7">
        <f>ROUND(AVERAGEIFS('Pick Values'!$B$2:$B$81,'Pick Values'!$A$2:$A$81,"&gt;="&amp;$F50,'Pick Values'!$A$2:$A$81,"&lt;="&amp;$G50),0)</f>
        <v>570</v>
      </c>
      <c r="J50" s="7">
        <f>IF($B50=2027,ROUND($I50*Ladder!$B$2,0),$I50)</f>
        <v>513</v>
      </c>
    </row>
    <row r="51" spans="1:10" x14ac:dyDescent="0.3">
      <c r="A51" s="5">
        <v>49</v>
      </c>
      <c r="B51" s="5">
        <v>2027</v>
      </c>
      <c r="C51" s="5">
        <v>4</v>
      </c>
      <c r="D51" s="6" t="s">
        <v>15</v>
      </c>
      <c r="E51" s="13" t="s">
        <v>15</v>
      </c>
      <c r="F51" s="5">
        <f>INDEX(Ladder!$B$5:$E$20,MATCH($D51,Ladder!$A$5:$A$20,0),IF($B51=2026,1,3))+($C51-1)*16</f>
        <v>51</v>
      </c>
      <c r="G51" s="5">
        <f>INDEX(Ladder!$B$5:$E$20,MATCH($D51,Ladder!$A$5:$A$20,0),IF($B51=2026,2,4))+($C51-1)*16</f>
        <v>52</v>
      </c>
      <c r="H51" s="5" t="str">
        <f t="shared" si="0"/>
        <v>#51-52</v>
      </c>
      <c r="I51" s="7">
        <f>ROUND(AVERAGEIFS('Pick Values'!$B$2:$B$81,'Pick Values'!$A$2:$A$81,"&gt;="&amp;$F51,'Pick Values'!$A$2:$A$81,"&lt;="&amp;$G51),0)</f>
        <v>373</v>
      </c>
      <c r="J51" s="7">
        <f>IF($B51=2027,ROUND($I51*Ladder!$B$2,0),$I51)</f>
        <v>336</v>
      </c>
    </row>
    <row r="52" spans="1:10" x14ac:dyDescent="0.3">
      <c r="A52" s="5">
        <v>50</v>
      </c>
      <c r="B52" s="5">
        <v>2027</v>
      </c>
      <c r="C52" s="5">
        <v>5</v>
      </c>
      <c r="D52" s="6" t="s">
        <v>15</v>
      </c>
      <c r="E52" s="13" t="s">
        <v>13</v>
      </c>
      <c r="F52" s="5">
        <f>INDEX(Ladder!$B$5:$E$20,MATCH($D52,Ladder!$A$5:$A$20,0),IF($B52=2026,1,3))+($C52-1)*16</f>
        <v>67</v>
      </c>
      <c r="G52" s="5">
        <f>INDEX(Ladder!$B$5:$E$20,MATCH($D52,Ladder!$A$5:$A$20,0),IF($B52=2026,2,4))+($C52-1)*16</f>
        <v>68</v>
      </c>
      <c r="H52" s="5" t="str">
        <f t="shared" si="0"/>
        <v>#67-68</v>
      </c>
      <c r="I52" s="7">
        <f>ROUND(AVERAGEIFS('Pick Values'!$B$2:$B$81,'Pick Values'!$A$2:$A$81,"&gt;="&amp;$F52,'Pick Values'!$A$2:$A$81,"&lt;="&amp;$G52),0)</f>
        <v>213</v>
      </c>
      <c r="J52" s="7">
        <f>IF($B52=2027,ROUND($I52*Ladder!$B$2,0),$I52)</f>
        <v>192</v>
      </c>
    </row>
    <row r="53" spans="1:10" x14ac:dyDescent="0.3">
      <c r="A53" s="5">
        <v>51</v>
      </c>
      <c r="B53" s="5">
        <v>2026</v>
      </c>
      <c r="C53" s="5">
        <v>1</v>
      </c>
      <c r="D53" s="6" t="s">
        <v>16</v>
      </c>
      <c r="E53" s="13" t="s">
        <v>19</v>
      </c>
      <c r="F53" s="5">
        <f>INDEX(Ladder!$B$5:$E$20,MATCH($D53,Ladder!$A$5:$A$20,0),IF($B53=2026,1,3))+($C53-1)*16</f>
        <v>2</v>
      </c>
      <c r="G53" s="5">
        <f>INDEX(Ladder!$B$5:$E$20,MATCH($D53,Ladder!$A$5:$A$20,0),IF($B53=2026,2,4))+($C53-1)*16</f>
        <v>2</v>
      </c>
      <c r="H53" s="5" t="str">
        <f t="shared" si="0"/>
        <v>#2</v>
      </c>
      <c r="I53" s="7">
        <f>ROUND(AVERAGEIFS('Pick Values'!$B$2:$B$81,'Pick Values'!$A$2:$A$81,"&gt;="&amp;$F53,'Pick Values'!$A$2:$A$81,"&lt;="&amp;$G53),0)</f>
        <v>2495</v>
      </c>
      <c r="J53" s="7">
        <f>IF($B53=2027,ROUND($I53*Ladder!$B$2,0),$I53)</f>
        <v>2495</v>
      </c>
    </row>
    <row r="54" spans="1:10" x14ac:dyDescent="0.3">
      <c r="A54" s="5">
        <v>52</v>
      </c>
      <c r="B54" s="5">
        <v>2026</v>
      </c>
      <c r="C54" s="5">
        <v>2</v>
      </c>
      <c r="D54" s="6" t="s">
        <v>16</v>
      </c>
      <c r="E54" s="13" t="s">
        <v>18</v>
      </c>
      <c r="F54" s="5">
        <f>INDEX(Ladder!$B$5:$E$20,MATCH($D54,Ladder!$A$5:$A$20,0),IF($B54=2026,1,3))+($C54-1)*16</f>
        <v>18</v>
      </c>
      <c r="G54" s="5">
        <f>INDEX(Ladder!$B$5:$E$20,MATCH($D54,Ladder!$A$5:$A$20,0),IF($B54=2026,2,4))+($C54-1)*16</f>
        <v>18</v>
      </c>
      <c r="H54" s="5" t="str">
        <f t="shared" si="0"/>
        <v>#18</v>
      </c>
      <c r="I54" s="7">
        <f>ROUND(AVERAGEIFS('Pick Values'!$B$2:$B$81,'Pick Values'!$A$2:$A$81,"&gt;="&amp;$F54,'Pick Values'!$A$2:$A$81,"&lt;="&amp;$G54),0)</f>
        <v>871</v>
      </c>
      <c r="J54" s="7">
        <f>IF($B54=2027,ROUND($I54*Ladder!$B$2,0),$I54)</f>
        <v>871</v>
      </c>
    </row>
    <row r="55" spans="1:10" x14ac:dyDescent="0.3">
      <c r="A55" s="5">
        <v>53</v>
      </c>
      <c r="B55" s="5">
        <v>2026</v>
      </c>
      <c r="C55" s="5">
        <v>3</v>
      </c>
      <c r="D55" s="6" t="s">
        <v>16</v>
      </c>
      <c r="E55" s="13" t="s">
        <v>16</v>
      </c>
      <c r="F55" s="5">
        <f>INDEX(Ladder!$B$5:$E$20,MATCH($D55,Ladder!$A$5:$A$20,0),IF($B55=2026,1,3))+($C55-1)*16</f>
        <v>34</v>
      </c>
      <c r="G55" s="5">
        <f>INDEX(Ladder!$B$5:$E$20,MATCH($D55,Ladder!$A$5:$A$20,0),IF($B55=2026,2,4))+($C55-1)*16</f>
        <v>34</v>
      </c>
      <c r="H55" s="5" t="str">
        <f t="shared" si="0"/>
        <v>#34</v>
      </c>
      <c r="I55" s="7">
        <f>ROUND(AVERAGEIFS('Pick Values'!$B$2:$B$81,'Pick Values'!$A$2:$A$81,"&gt;="&amp;$F55,'Pick Values'!$A$2:$A$81,"&lt;="&amp;$G55),0)</f>
        <v>589</v>
      </c>
      <c r="J55" s="7">
        <f>IF($B55=2027,ROUND($I55*Ladder!$B$2,0),$I55)</f>
        <v>589</v>
      </c>
    </row>
    <row r="56" spans="1:10" x14ac:dyDescent="0.3">
      <c r="A56" s="5">
        <v>54</v>
      </c>
      <c r="B56" s="5">
        <v>2026</v>
      </c>
      <c r="C56" s="5">
        <v>4</v>
      </c>
      <c r="D56" s="6" t="s">
        <v>16</v>
      </c>
      <c r="E56" s="13" t="s">
        <v>14</v>
      </c>
      <c r="F56" s="5">
        <f>INDEX(Ladder!$B$5:$E$20,MATCH($D56,Ladder!$A$5:$A$20,0),IF($B56=2026,1,3))+($C56-1)*16</f>
        <v>50</v>
      </c>
      <c r="G56" s="5">
        <f>INDEX(Ladder!$B$5:$E$20,MATCH($D56,Ladder!$A$5:$A$20,0),IF($B56=2026,2,4))+($C56-1)*16</f>
        <v>50</v>
      </c>
      <c r="H56" s="5" t="str">
        <f t="shared" si="0"/>
        <v>#50</v>
      </c>
      <c r="I56" s="7">
        <f>ROUND(AVERAGEIFS('Pick Values'!$B$2:$B$81,'Pick Values'!$A$2:$A$81,"&gt;="&amp;$F56,'Pick Values'!$A$2:$A$81,"&lt;="&amp;$G56),0)</f>
        <v>388</v>
      </c>
      <c r="J56" s="7">
        <f>IF($B56=2027,ROUND($I56*Ladder!$B$2,0),$I56)</f>
        <v>388</v>
      </c>
    </row>
    <row r="57" spans="1:10" x14ac:dyDescent="0.3">
      <c r="A57" s="5">
        <v>55</v>
      </c>
      <c r="B57" s="5">
        <v>2026</v>
      </c>
      <c r="C57" s="5">
        <v>5</v>
      </c>
      <c r="D57" s="6" t="s">
        <v>16</v>
      </c>
      <c r="E57" s="13" t="s">
        <v>16</v>
      </c>
      <c r="F57" s="5">
        <f>INDEX(Ladder!$B$5:$E$20,MATCH($D57,Ladder!$A$5:$A$20,0),IF($B57=2026,1,3))+($C57-1)*16</f>
        <v>66</v>
      </c>
      <c r="G57" s="5">
        <f>INDEX(Ladder!$B$5:$E$20,MATCH($D57,Ladder!$A$5:$A$20,0),IF($B57=2026,2,4))+($C57-1)*16</f>
        <v>66</v>
      </c>
      <c r="H57" s="5" t="str">
        <f t="shared" si="0"/>
        <v>#66</v>
      </c>
      <c r="I57" s="7">
        <f>ROUND(AVERAGEIFS('Pick Values'!$B$2:$B$81,'Pick Values'!$A$2:$A$81,"&gt;="&amp;$F57,'Pick Values'!$A$2:$A$81,"&lt;="&amp;$G57),0)</f>
        <v>225</v>
      </c>
      <c r="J57" s="7">
        <f>IF($B57=2027,ROUND($I57*Ladder!$B$2,0),$I57)</f>
        <v>225</v>
      </c>
    </row>
    <row r="58" spans="1:10" x14ac:dyDescent="0.3">
      <c r="A58" s="5">
        <v>56</v>
      </c>
      <c r="B58" s="5">
        <v>2027</v>
      </c>
      <c r="C58" s="5">
        <v>1</v>
      </c>
      <c r="D58" s="6" t="s">
        <v>16</v>
      </c>
      <c r="E58" s="13" t="s">
        <v>18</v>
      </c>
      <c r="F58" s="5">
        <f>INDEX(Ladder!$B$5:$E$20,MATCH($D58,Ladder!$A$5:$A$20,0),IF($B58=2026,1,3))+($C58-1)*16</f>
        <v>2</v>
      </c>
      <c r="G58" s="5">
        <f>INDEX(Ladder!$B$5:$E$20,MATCH($D58,Ladder!$A$5:$A$20,0),IF($B58=2026,2,4))+($C58-1)*16</f>
        <v>2</v>
      </c>
      <c r="H58" s="5" t="str">
        <f t="shared" si="0"/>
        <v>#2</v>
      </c>
      <c r="I58" s="7">
        <f>ROUND(AVERAGEIFS('Pick Values'!$B$2:$B$81,'Pick Values'!$A$2:$A$81,"&gt;="&amp;$F58,'Pick Values'!$A$2:$A$81,"&lt;="&amp;$G58),0)</f>
        <v>2495</v>
      </c>
      <c r="J58" s="7">
        <f>IF($B58=2027,ROUND($I58*Ladder!$B$2,0),$I58)</f>
        <v>2246</v>
      </c>
    </row>
    <row r="59" spans="1:10" x14ac:dyDescent="0.3">
      <c r="A59" s="5">
        <v>57</v>
      </c>
      <c r="B59" s="5">
        <v>2027</v>
      </c>
      <c r="C59" s="5">
        <v>2</v>
      </c>
      <c r="D59" s="6" t="s">
        <v>16</v>
      </c>
      <c r="E59" s="13" t="s">
        <v>16</v>
      </c>
      <c r="F59" s="5">
        <f>INDEX(Ladder!$B$5:$E$20,MATCH($D59,Ladder!$A$5:$A$20,0),IF($B59=2026,1,3))+($C59-1)*16</f>
        <v>18</v>
      </c>
      <c r="G59" s="5">
        <f>INDEX(Ladder!$B$5:$E$20,MATCH($D59,Ladder!$A$5:$A$20,0),IF($B59=2026,2,4))+($C59-1)*16</f>
        <v>18</v>
      </c>
      <c r="H59" s="5" t="str">
        <f t="shared" si="0"/>
        <v>#18</v>
      </c>
      <c r="I59" s="7">
        <f>ROUND(AVERAGEIFS('Pick Values'!$B$2:$B$81,'Pick Values'!$A$2:$A$81,"&gt;="&amp;$F59,'Pick Values'!$A$2:$A$81,"&lt;="&amp;$G59),0)</f>
        <v>871</v>
      </c>
      <c r="J59" s="7">
        <f>IF($B59=2027,ROUND($I59*Ladder!$B$2,0),$I59)</f>
        <v>784</v>
      </c>
    </row>
    <row r="60" spans="1:10" x14ac:dyDescent="0.3">
      <c r="A60" s="5">
        <v>58</v>
      </c>
      <c r="B60" s="5">
        <v>2027</v>
      </c>
      <c r="C60" s="5">
        <v>3</v>
      </c>
      <c r="D60" s="6" t="s">
        <v>16</v>
      </c>
      <c r="E60" s="13" t="s">
        <v>16</v>
      </c>
      <c r="F60" s="5">
        <f>INDEX(Ladder!$B$5:$E$20,MATCH($D60,Ladder!$A$5:$A$20,0),IF($B60=2026,1,3))+($C60-1)*16</f>
        <v>34</v>
      </c>
      <c r="G60" s="5">
        <f>INDEX(Ladder!$B$5:$E$20,MATCH($D60,Ladder!$A$5:$A$20,0),IF($B60=2026,2,4))+($C60-1)*16</f>
        <v>34</v>
      </c>
      <c r="H60" s="5" t="str">
        <f t="shared" si="0"/>
        <v>#34</v>
      </c>
      <c r="I60" s="7">
        <f>ROUND(AVERAGEIFS('Pick Values'!$B$2:$B$81,'Pick Values'!$A$2:$A$81,"&gt;="&amp;$F60,'Pick Values'!$A$2:$A$81,"&lt;="&amp;$G60),0)</f>
        <v>589</v>
      </c>
      <c r="J60" s="7">
        <f>IF($B60=2027,ROUND($I60*Ladder!$B$2,0),$I60)</f>
        <v>530</v>
      </c>
    </row>
    <row r="61" spans="1:10" x14ac:dyDescent="0.3">
      <c r="A61" s="5">
        <v>59</v>
      </c>
      <c r="B61" s="5">
        <v>2027</v>
      </c>
      <c r="C61" s="5">
        <v>4</v>
      </c>
      <c r="D61" s="6" t="s">
        <v>16</v>
      </c>
      <c r="E61" s="13" t="s">
        <v>16</v>
      </c>
      <c r="F61" s="5">
        <f>INDEX(Ladder!$B$5:$E$20,MATCH($D61,Ladder!$A$5:$A$20,0),IF($B61=2026,1,3))+($C61-1)*16</f>
        <v>50</v>
      </c>
      <c r="G61" s="5">
        <f>INDEX(Ladder!$B$5:$E$20,MATCH($D61,Ladder!$A$5:$A$20,0),IF($B61=2026,2,4))+($C61-1)*16</f>
        <v>50</v>
      </c>
      <c r="H61" s="5" t="str">
        <f t="shared" si="0"/>
        <v>#50</v>
      </c>
      <c r="I61" s="7">
        <f>ROUND(AVERAGEIFS('Pick Values'!$B$2:$B$81,'Pick Values'!$A$2:$A$81,"&gt;="&amp;$F61,'Pick Values'!$A$2:$A$81,"&lt;="&amp;$G61),0)</f>
        <v>388</v>
      </c>
      <c r="J61" s="7">
        <f>IF($B61=2027,ROUND($I61*Ladder!$B$2,0),$I61)</f>
        <v>349</v>
      </c>
    </row>
    <row r="62" spans="1:10" x14ac:dyDescent="0.3">
      <c r="A62" s="5">
        <v>60</v>
      </c>
      <c r="B62" s="5">
        <v>2027</v>
      </c>
      <c r="C62" s="5">
        <v>5</v>
      </c>
      <c r="D62" s="6" t="s">
        <v>16</v>
      </c>
      <c r="E62" s="13" t="s">
        <v>14</v>
      </c>
      <c r="F62" s="5">
        <f>INDEX(Ladder!$B$5:$E$20,MATCH($D62,Ladder!$A$5:$A$20,0),IF($B62=2026,1,3))+($C62-1)*16</f>
        <v>66</v>
      </c>
      <c r="G62" s="5">
        <f>INDEX(Ladder!$B$5:$E$20,MATCH($D62,Ladder!$A$5:$A$20,0),IF($B62=2026,2,4))+($C62-1)*16</f>
        <v>66</v>
      </c>
      <c r="H62" s="5" t="str">
        <f t="shared" si="0"/>
        <v>#66</v>
      </c>
      <c r="I62" s="7">
        <f>ROUND(AVERAGEIFS('Pick Values'!$B$2:$B$81,'Pick Values'!$A$2:$A$81,"&gt;="&amp;$F62,'Pick Values'!$A$2:$A$81,"&lt;="&amp;$G62),0)</f>
        <v>225</v>
      </c>
      <c r="J62" s="7">
        <f>IF($B62=2027,ROUND($I62*Ladder!$B$2,0),$I62)</f>
        <v>203</v>
      </c>
    </row>
    <row r="63" spans="1:10" x14ac:dyDescent="0.3">
      <c r="A63" s="5">
        <v>61</v>
      </c>
      <c r="B63" s="5">
        <v>2026</v>
      </c>
      <c r="C63" s="5">
        <v>1</v>
      </c>
      <c r="D63" s="6" t="s">
        <v>17</v>
      </c>
      <c r="E63" s="13" t="s">
        <v>11</v>
      </c>
      <c r="F63" s="5">
        <f>INDEX(Ladder!$B$5:$E$20,MATCH($D63,Ladder!$A$5:$A$20,0),IF($B63=2026,1,3))+($C63-1)*16</f>
        <v>12</v>
      </c>
      <c r="G63" s="5">
        <f>INDEX(Ladder!$B$5:$E$20,MATCH($D63,Ladder!$A$5:$A$20,0),IF($B63=2026,2,4))+($C63-1)*16</f>
        <v>14</v>
      </c>
      <c r="H63" s="5" t="str">
        <f t="shared" si="0"/>
        <v>#12-14</v>
      </c>
      <c r="I63" s="7">
        <f>ROUND(AVERAGEIFS('Pick Values'!$B$2:$B$81,'Pick Values'!$A$2:$A$81,"&gt;="&amp;$F63,'Pick Values'!$A$2:$A$81,"&lt;="&amp;$G63),0)</f>
        <v>1203</v>
      </c>
      <c r="J63" s="7">
        <f>IF($B63=2027,ROUND($I63*Ladder!$B$2,0),$I63)</f>
        <v>1203</v>
      </c>
    </row>
    <row r="64" spans="1:10" x14ac:dyDescent="0.3">
      <c r="A64" s="5">
        <v>62</v>
      </c>
      <c r="B64" s="5">
        <v>2026</v>
      </c>
      <c r="C64" s="5">
        <v>2</v>
      </c>
      <c r="D64" s="6" t="s">
        <v>17</v>
      </c>
      <c r="E64" s="13" t="s">
        <v>24</v>
      </c>
      <c r="F64" s="5">
        <f>INDEX(Ladder!$B$5:$E$20,MATCH($D64,Ladder!$A$5:$A$20,0),IF($B64=2026,1,3))+($C64-1)*16</f>
        <v>28</v>
      </c>
      <c r="G64" s="5">
        <f>INDEX(Ladder!$B$5:$E$20,MATCH($D64,Ladder!$A$5:$A$20,0),IF($B64=2026,2,4))+($C64-1)*16</f>
        <v>30</v>
      </c>
      <c r="H64" s="5" t="str">
        <f t="shared" si="0"/>
        <v>#28-30</v>
      </c>
      <c r="I64" s="7">
        <f>ROUND(AVERAGEIFS('Pick Values'!$B$2:$B$81,'Pick Values'!$A$2:$A$81,"&gt;="&amp;$F64,'Pick Values'!$A$2:$A$81,"&lt;="&amp;$G64),0)</f>
        <v>619</v>
      </c>
      <c r="J64" s="7">
        <f>IF($B64=2027,ROUND($I64*Ladder!$B$2,0),$I64)</f>
        <v>619</v>
      </c>
    </row>
    <row r="65" spans="1:10" x14ac:dyDescent="0.3">
      <c r="A65" s="5">
        <v>63</v>
      </c>
      <c r="B65" s="5">
        <v>2026</v>
      </c>
      <c r="C65" s="5">
        <v>3</v>
      </c>
      <c r="D65" s="6" t="s">
        <v>17</v>
      </c>
      <c r="E65" s="13" t="s">
        <v>16</v>
      </c>
      <c r="F65" s="5">
        <f>INDEX(Ladder!$B$5:$E$20,MATCH($D65,Ladder!$A$5:$A$20,0),IF($B65=2026,1,3))+($C65-1)*16</f>
        <v>44</v>
      </c>
      <c r="G65" s="5">
        <f>INDEX(Ladder!$B$5:$E$20,MATCH($D65,Ladder!$A$5:$A$20,0),IF($B65=2026,2,4))+($C65-1)*16</f>
        <v>46</v>
      </c>
      <c r="H65" s="5" t="str">
        <f t="shared" si="0"/>
        <v>#44-46</v>
      </c>
      <c r="I65" s="7">
        <f>ROUND(AVERAGEIFS('Pick Values'!$B$2:$B$81,'Pick Values'!$A$2:$A$81,"&gt;="&amp;$F65,'Pick Values'!$A$2:$A$81,"&lt;="&amp;$G65),0)</f>
        <v>453</v>
      </c>
      <c r="J65" s="7">
        <f>IF($B65=2027,ROUND($I65*Ladder!$B$2,0),$I65)</f>
        <v>453</v>
      </c>
    </row>
    <row r="66" spans="1:10" x14ac:dyDescent="0.3">
      <c r="A66" s="5">
        <v>64</v>
      </c>
      <c r="B66" s="5">
        <v>2026</v>
      </c>
      <c r="C66" s="5">
        <v>4</v>
      </c>
      <c r="D66" s="6" t="s">
        <v>17</v>
      </c>
      <c r="E66" s="13" t="s">
        <v>15</v>
      </c>
      <c r="F66" s="5">
        <f>INDEX(Ladder!$B$5:$E$20,MATCH($D66,Ladder!$A$5:$A$20,0),IF($B66=2026,1,3))+($C66-1)*16</f>
        <v>60</v>
      </c>
      <c r="G66" s="5">
        <f>INDEX(Ladder!$B$5:$E$20,MATCH($D66,Ladder!$A$5:$A$20,0),IF($B66=2026,2,4))+($C66-1)*16</f>
        <v>62</v>
      </c>
      <c r="H66" s="5" t="str">
        <f t="shared" si="0"/>
        <v>#60-62</v>
      </c>
      <c r="I66" s="7">
        <f>ROUND(AVERAGEIFS('Pick Values'!$B$2:$B$81,'Pick Values'!$A$2:$A$81,"&gt;="&amp;$F66,'Pick Values'!$A$2:$A$81,"&lt;="&amp;$G66),0)</f>
        <v>267</v>
      </c>
      <c r="J66" s="7">
        <f>IF($B66=2027,ROUND($I66*Ladder!$B$2,0),$I66)</f>
        <v>267</v>
      </c>
    </row>
    <row r="67" spans="1:10" x14ac:dyDescent="0.3">
      <c r="A67" s="5">
        <v>65</v>
      </c>
      <c r="B67" s="5">
        <v>2026</v>
      </c>
      <c r="C67" s="5">
        <v>5</v>
      </c>
      <c r="D67" s="6" t="s">
        <v>17</v>
      </c>
      <c r="E67" s="13" t="s">
        <v>17</v>
      </c>
      <c r="F67" s="5">
        <f>INDEX(Ladder!$B$5:$E$20,MATCH($D67,Ladder!$A$5:$A$20,0),IF($B67=2026,1,3))+($C67-1)*16</f>
        <v>76</v>
      </c>
      <c r="G67" s="5">
        <f>INDEX(Ladder!$B$5:$E$20,MATCH($D67,Ladder!$A$5:$A$20,0),IF($B67=2026,2,4))+($C67-1)*16</f>
        <v>78</v>
      </c>
      <c r="H67" s="5" t="str">
        <f t="shared" ref="H67:H130" si="1">IF($F67=$G67,"#"&amp;$F67,"#"&amp;$F67&amp;"-"&amp;$G67)</f>
        <v>#76-78</v>
      </c>
      <c r="I67" s="7">
        <f>ROUND(AVERAGEIFS('Pick Values'!$B$2:$B$81,'Pick Values'!$A$2:$A$81,"&gt;="&amp;$F67,'Pick Values'!$A$2:$A$81,"&lt;="&amp;$G67),0)</f>
        <v>151</v>
      </c>
      <c r="J67" s="7">
        <f>IF($B67=2027,ROUND($I67*Ladder!$B$2,0),$I67)</f>
        <v>151</v>
      </c>
    </row>
    <row r="68" spans="1:10" x14ac:dyDescent="0.3">
      <c r="A68" s="5">
        <v>66</v>
      </c>
      <c r="B68" s="5">
        <v>2027</v>
      </c>
      <c r="C68" s="5">
        <v>1</v>
      </c>
      <c r="D68" s="6" t="s">
        <v>17</v>
      </c>
      <c r="E68" s="13" t="s">
        <v>14</v>
      </c>
      <c r="F68" s="5">
        <f>INDEX(Ladder!$B$5:$E$20,MATCH($D68,Ladder!$A$5:$A$20,0),IF($B68=2026,1,3))+($C68-1)*16</f>
        <v>12</v>
      </c>
      <c r="G68" s="5">
        <f>INDEX(Ladder!$B$5:$E$20,MATCH($D68,Ladder!$A$5:$A$20,0),IF($B68=2026,2,4))+($C68-1)*16</f>
        <v>14</v>
      </c>
      <c r="H68" s="5" t="str">
        <f t="shared" si="1"/>
        <v>#12-14</v>
      </c>
      <c r="I68" s="7">
        <f>ROUND(AVERAGEIFS('Pick Values'!$B$2:$B$81,'Pick Values'!$A$2:$A$81,"&gt;="&amp;$F68,'Pick Values'!$A$2:$A$81,"&lt;="&amp;$G68),0)</f>
        <v>1203</v>
      </c>
      <c r="J68" s="7">
        <f>IF($B68=2027,ROUND($I68*Ladder!$B$2,0),$I68)</f>
        <v>1083</v>
      </c>
    </row>
    <row r="69" spans="1:10" x14ac:dyDescent="0.3">
      <c r="A69" s="5">
        <v>67</v>
      </c>
      <c r="B69" s="5">
        <v>2027</v>
      </c>
      <c r="C69" s="5">
        <v>2</v>
      </c>
      <c r="D69" s="6" t="s">
        <v>17</v>
      </c>
      <c r="E69" s="13" t="s">
        <v>14</v>
      </c>
      <c r="F69" s="5">
        <f>INDEX(Ladder!$B$5:$E$20,MATCH($D69,Ladder!$A$5:$A$20,0),IF($B69=2026,1,3))+($C69-1)*16</f>
        <v>28</v>
      </c>
      <c r="G69" s="5">
        <f>INDEX(Ladder!$B$5:$E$20,MATCH($D69,Ladder!$A$5:$A$20,0),IF($B69=2026,2,4))+($C69-1)*16</f>
        <v>30</v>
      </c>
      <c r="H69" s="5" t="str">
        <f t="shared" si="1"/>
        <v>#28-30</v>
      </c>
      <c r="I69" s="7">
        <f>ROUND(AVERAGEIFS('Pick Values'!$B$2:$B$81,'Pick Values'!$A$2:$A$81,"&gt;="&amp;$F69,'Pick Values'!$A$2:$A$81,"&lt;="&amp;$G69),0)</f>
        <v>619</v>
      </c>
      <c r="J69" s="7">
        <f>IF($B69=2027,ROUND($I69*Ladder!$B$2,0),$I69)</f>
        <v>557</v>
      </c>
    </row>
    <row r="70" spans="1:10" x14ac:dyDescent="0.3">
      <c r="A70" s="5">
        <v>68</v>
      </c>
      <c r="B70" s="5">
        <v>2027</v>
      </c>
      <c r="C70" s="5">
        <v>3</v>
      </c>
      <c r="D70" s="6" t="s">
        <v>17</v>
      </c>
      <c r="E70" s="13" t="s">
        <v>24</v>
      </c>
      <c r="F70" s="5">
        <f>INDEX(Ladder!$B$5:$E$20,MATCH($D70,Ladder!$A$5:$A$20,0),IF($B70=2026,1,3))+($C70-1)*16</f>
        <v>44</v>
      </c>
      <c r="G70" s="5">
        <f>INDEX(Ladder!$B$5:$E$20,MATCH($D70,Ladder!$A$5:$A$20,0),IF($B70=2026,2,4))+($C70-1)*16</f>
        <v>46</v>
      </c>
      <c r="H70" s="5" t="str">
        <f t="shared" si="1"/>
        <v>#44-46</v>
      </c>
      <c r="I70" s="7">
        <f>ROUND(AVERAGEIFS('Pick Values'!$B$2:$B$81,'Pick Values'!$A$2:$A$81,"&gt;="&amp;$F70,'Pick Values'!$A$2:$A$81,"&lt;="&amp;$G70),0)</f>
        <v>453</v>
      </c>
      <c r="J70" s="7">
        <f>IF($B70=2027,ROUND($I70*Ladder!$B$2,0),$I70)</f>
        <v>408</v>
      </c>
    </row>
    <row r="71" spans="1:10" x14ac:dyDescent="0.3">
      <c r="A71" s="5">
        <v>69</v>
      </c>
      <c r="B71" s="5">
        <v>2027</v>
      </c>
      <c r="C71" s="5">
        <v>4</v>
      </c>
      <c r="D71" s="6" t="s">
        <v>17</v>
      </c>
      <c r="E71" s="13" t="s">
        <v>14</v>
      </c>
      <c r="F71" s="5">
        <f>INDEX(Ladder!$B$5:$E$20,MATCH($D71,Ladder!$A$5:$A$20,0),IF($B71=2026,1,3))+($C71-1)*16</f>
        <v>60</v>
      </c>
      <c r="G71" s="5">
        <f>INDEX(Ladder!$B$5:$E$20,MATCH($D71,Ladder!$A$5:$A$20,0),IF($B71=2026,2,4))+($C71-1)*16</f>
        <v>62</v>
      </c>
      <c r="H71" s="5" t="str">
        <f t="shared" si="1"/>
        <v>#60-62</v>
      </c>
      <c r="I71" s="7">
        <f>ROUND(AVERAGEIFS('Pick Values'!$B$2:$B$81,'Pick Values'!$A$2:$A$81,"&gt;="&amp;$F71,'Pick Values'!$A$2:$A$81,"&lt;="&amp;$G71),0)</f>
        <v>267</v>
      </c>
      <c r="J71" s="7">
        <f>IF($B71=2027,ROUND($I71*Ladder!$B$2,0),$I71)</f>
        <v>240</v>
      </c>
    </row>
    <row r="72" spans="1:10" x14ac:dyDescent="0.3">
      <c r="A72" s="5">
        <v>70</v>
      </c>
      <c r="B72" s="5">
        <v>2027</v>
      </c>
      <c r="C72" s="5">
        <v>5</v>
      </c>
      <c r="D72" s="6" t="s">
        <v>17</v>
      </c>
      <c r="E72" s="13" t="s">
        <v>17</v>
      </c>
      <c r="F72" s="5">
        <f>INDEX(Ladder!$B$5:$E$20,MATCH($D72,Ladder!$A$5:$A$20,0),IF($B72=2026,1,3))+($C72-1)*16</f>
        <v>76</v>
      </c>
      <c r="G72" s="5">
        <f>INDEX(Ladder!$B$5:$E$20,MATCH($D72,Ladder!$A$5:$A$20,0),IF($B72=2026,2,4))+($C72-1)*16</f>
        <v>78</v>
      </c>
      <c r="H72" s="5" t="str">
        <f t="shared" si="1"/>
        <v>#76-78</v>
      </c>
      <c r="I72" s="7">
        <f>ROUND(AVERAGEIFS('Pick Values'!$B$2:$B$81,'Pick Values'!$A$2:$A$81,"&gt;="&amp;$F72,'Pick Values'!$A$2:$A$81,"&lt;="&amp;$G72),0)</f>
        <v>151</v>
      </c>
      <c r="J72" s="7">
        <f>IF($B72=2027,ROUND($I72*Ladder!$B$2,0),$I72)</f>
        <v>136</v>
      </c>
    </row>
    <row r="73" spans="1:10" x14ac:dyDescent="0.3">
      <c r="A73" s="5">
        <v>71</v>
      </c>
      <c r="B73" s="5">
        <v>2026</v>
      </c>
      <c r="C73" s="5">
        <v>1</v>
      </c>
      <c r="D73" s="6" t="s">
        <v>18</v>
      </c>
      <c r="E73" s="13" t="s">
        <v>18</v>
      </c>
      <c r="F73" s="5">
        <f>INDEX(Ladder!$B$5:$E$20,MATCH($D73,Ladder!$A$5:$A$20,0),IF($B73=2026,1,3))+($C73-1)*16</f>
        <v>1</v>
      </c>
      <c r="G73" s="5">
        <f>INDEX(Ladder!$B$5:$E$20,MATCH($D73,Ladder!$A$5:$A$20,0),IF($B73=2026,2,4))+($C73-1)*16</f>
        <v>1</v>
      </c>
      <c r="H73" s="5" t="str">
        <f t="shared" si="1"/>
        <v>#1</v>
      </c>
      <c r="I73" s="7">
        <f>ROUND(AVERAGEIFS('Pick Values'!$B$2:$B$81,'Pick Values'!$A$2:$A$81,"&gt;="&amp;$F73,'Pick Values'!$A$2:$A$81,"&lt;="&amp;$G73),0)</f>
        <v>3000</v>
      </c>
      <c r="J73" s="7">
        <f>IF($B73=2027,ROUND($I73*Ladder!$B$2,0),$I73)</f>
        <v>3000</v>
      </c>
    </row>
    <row r="74" spans="1:10" x14ac:dyDescent="0.3">
      <c r="A74" s="5">
        <v>72</v>
      </c>
      <c r="B74" s="5">
        <v>2026</v>
      </c>
      <c r="C74" s="5">
        <v>2</v>
      </c>
      <c r="D74" s="6" t="s">
        <v>18</v>
      </c>
      <c r="E74" s="13" t="s">
        <v>18</v>
      </c>
      <c r="F74" s="5">
        <f>INDEX(Ladder!$B$5:$E$20,MATCH($D74,Ladder!$A$5:$A$20,0),IF($B74=2026,1,3))+($C74-1)*16</f>
        <v>17</v>
      </c>
      <c r="G74" s="5">
        <f>INDEX(Ladder!$B$5:$E$20,MATCH($D74,Ladder!$A$5:$A$20,0),IF($B74=2026,2,4))+($C74-1)*16</f>
        <v>17</v>
      </c>
      <c r="H74" s="5" t="str">
        <f t="shared" si="1"/>
        <v>#17</v>
      </c>
      <c r="I74" s="7">
        <f>ROUND(AVERAGEIFS('Pick Values'!$B$2:$B$81,'Pick Values'!$A$2:$A$81,"&gt;="&amp;$F74,'Pick Values'!$A$2:$A$81,"&lt;="&amp;$G74),0)</f>
        <v>939</v>
      </c>
      <c r="J74" s="7">
        <f>IF($B74=2027,ROUND($I74*Ladder!$B$2,0),$I74)</f>
        <v>939</v>
      </c>
    </row>
    <row r="75" spans="1:10" x14ac:dyDescent="0.3">
      <c r="A75" s="5">
        <v>73</v>
      </c>
      <c r="B75" s="5">
        <v>2026</v>
      </c>
      <c r="C75" s="5">
        <v>3</v>
      </c>
      <c r="D75" s="6" t="s">
        <v>18</v>
      </c>
      <c r="E75" s="13" t="s">
        <v>18</v>
      </c>
      <c r="F75" s="5">
        <f>INDEX(Ladder!$B$5:$E$20,MATCH($D75,Ladder!$A$5:$A$20,0),IF($B75=2026,1,3))+($C75-1)*16</f>
        <v>33</v>
      </c>
      <c r="G75" s="5">
        <f>INDEX(Ladder!$B$5:$E$20,MATCH($D75,Ladder!$A$5:$A$20,0),IF($B75=2026,2,4))+($C75-1)*16</f>
        <v>33</v>
      </c>
      <c r="H75" s="5" t="str">
        <f t="shared" si="1"/>
        <v>#33</v>
      </c>
      <c r="I75" s="7">
        <f>ROUND(AVERAGEIFS('Pick Values'!$B$2:$B$81,'Pick Values'!$A$2:$A$81,"&gt;="&amp;$F75,'Pick Values'!$A$2:$A$81,"&lt;="&amp;$G75),0)</f>
        <v>602</v>
      </c>
      <c r="J75" s="7">
        <f>IF($B75=2027,ROUND($I75*Ladder!$B$2,0),$I75)</f>
        <v>602</v>
      </c>
    </row>
    <row r="76" spans="1:10" x14ac:dyDescent="0.3">
      <c r="A76" s="5">
        <v>74</v>
      </c>
      <c r="B76" s="5">
        <v>2026</v>
      </c>
      <c r="C76" s="5">
        <v>4</v>
      </c>
      <c r="D76" s="6" t="s">
        <v>18</v>
      </c>
      <c r="E76" s="13" t="s">
        <v>11</v>
      </c>
      <c r="F76" s="5">
        <f>INDEX(Ladder!$B$5:$E$20,MATCH($D76,Ladder!$A$5:$A$20,0),IF($B76=2026,1,3))+($C76-1)*16</f>
        <v>49</v>
      </c>
      <c r="G76" s="5">
        <f>INDEX(Ladder!$B$5:$E$20,MATCH($D76,Ladder!$A$5:$A$20,0),IF($B76=2026,2,4))+($C76-1)*16</f>
        <v>49</v>
      </c>
      <c r="H76" s="5" t="str">
        <f t="shared" si="1"/>
        <v>#49</v>
      </c>
      <c r="I76" s="7">
        <f>ROUND(AVERAGEIFS('Pick Values'!$B$2:$B$81,'Pick Values'!$A$2:$A$81,"&gt;="&amp;$F76,'Pick Values'!$A$2:$A$81,"&lt;="&amp;$G76),0)</f>
        <v>399</v>
      </c>
      <c r="J76" s="7">
        <f>IF($B76=2027,ROUND($I76*Ladder!$B$2,0),$I76)</f>
        <v>399</v>
      </c>
    </row>
    <row r="77" spans="1:10" x14ac:dyDescent="0.3">
      <c r="A77" s="5">
        <v>75</v>
      </c>
      <c r="B77" s="5">
        <v>2026</v>
      </c>
      <c r="C77" s="5">
        <v>5</v>
      </c>
      <c r="D77" s="6" t="s">
        <v>18</v>
      </c>
      <c r="E77" s="13" t="s">
        <v>22</v>
      </c>
      <c r="F77" s="5">
        <f>INDEX(Ladder!$B$5:$E$20,MATCH($D77,Ladder!$A$5:$A$20,0),IF($B77=2026,1,3))+($C77-1)*16</f>
        <v>65</v>
      </c>
      <c r="G77" s="5">
        <f>INDEX(Ladder!$B$5:$E$20,MATCH($D77,Ladder!$A$5:$A$20,0),IF($B77=2026,2,4))+($C77-1)*16</f>
        <v>65</v>
      </c>
      <c r="H77" s="5" t="str">
        <f t="shared" si="1"/>
        <v>#65</v>
      </c>
      <c r="I77" s="7">
        <f>ROUND(AVERAGEIFS('Pick Values'!$B$2:$B$81,'Pick Values'!$A$2:$A$81,"&gt;="&amp;$F77,'Pick Values'!$A$2:$A$81,"&lt;="&amp;$G77),0)</f>
        <v>233</v>
      </c>
      <c r="J77" s="7">
        <f>IF($B77=2027,ROUND($I77*Ladder!$B$2,0),$I77)</f>
        <v>233</v>
      </c>
    </row>
    <row r="78" spans="1:10" x14ac:dyDescent="0.3">
      <c r="A78" s="5">
        <v>76</v>
      </c>
      <c r="B78" s="5">
        <v>2027</v>
      </c>
      <c r="C78" s="5">
        <v>1</v>
      </c>
      <c r="D78" s="6" t="s">
        <v>18</v>
      </c>
      <c r="E78" s="13" t="s">
        <v>18</v>
      </c>
      <c r="F78" s="5">
        <f>INDEX(Ladder!$B$5:$E$20,MATCH($D78,Ladder!$A$5:$A$20,0),IF($B78=2026,1,3))+($C78-1)*16</f>
        <v>1</v>
      </c>
      <c r="G78" s="5">
        <f>INDEX(Ladder!$B$5:$E$20,MATCH($D78,Ladder!$A$5:$A$20,0),IF($B78=2026,2,4))+($C78-1)*16</f>
        <v>1</v>
      </c>
      <c r="H78" s="5" t="str">
        <f t="shared" si="1"/>
        <v>#1</v>
      </c>
      <c r="I78" s="7">
        <f>ROUND(AVERAGEIFS('Pick Values'!$B$2:$B$81,'Pick Values'!$A$2:$A$81,"&gt;="&amp;$F78,'Pick Values'!$A$2:$A$81,"&lt;="&amp;$G78),0)</f>
        <v>3000</v>
      </c>
      <c r="J78" s="7">
        <f>IF($B78=2027,ROUND($I78*Ladder!$B$2,0),$I78)</f>
        <v>2700</v>
      </c>
    </row>
    <row r="79" spans="1:10" x14ac:dyDescent="0.3">
      <c r="A79" s="5">
        <v>77</v>
      </c>
      <c r="B79" s="5">
        <v>2027</v>
      </c>
      <c r="C79" s="5">
        <v>2</v>
      </c>
      <c r="D79" s="6" t="s">
        <v>18</v>
      </c>
      <c r="E79" s="13" t="s">
        <v>20</v>
      </c>
      <c r="F79" s="5">
        <f>INDEX(Ladder!$B$5:$E$20,MATCH($D79,Ladder!$A$5:$A$20,0),IF($B79=2026,1,3))+($C79-1)*16</f>
        <v>17</v>
      </c>
      <c r="G79" s="5">
        <f>INDEX(Ladder!$B$5:$E$20,MATCH($D79,Ladder!$A$5:$A$20,0),IF($B79=2026,2,4))+($C79-1)*16</f>
        <v>17</v>
      </c>
      <c r="H79" s="5" t="str">
        <f t="shared" si="1"/>
        <v>#17</v>
      </c>
      <c r="I79" s="7">
        <f>ROUND(AVERAGEIFS('Pick Values'!$B$2:$B$81,'Pick Values'!$A$2:$A$81,"&gt;="&amp;$F79,'Pick Values'!$A$2:$A$81,"&lt;="&amp;$G79),0)</f>
        <v>939</v>
      </c>
      <c r="J79" s="7">
        <f>IF($B79=2027,ROUND($I79*Ladder!$B$2,0),$I79)</f>
        <v>845</v>
      </c>
    </row>
    <row r="80" spans="1:10" x14ac:dyDescent="0.3">
      <c r="A80" s="5">
        <v>78</v>
      </c>
      <c r="B80" s="5">
        <v>2027</v>
      </c>
      <c r="C80" s="5">
        <v>3</v>
      </c>
      <c r="D80" s="6" t="s">
        <v>18</v>
      </c>
      <c r="E80" s="13" t="s">
        <v>11</v>
      </c>
      <c r="F80" s="5">
        <f>INDEX(Ladder!$B$5:$E$20,MATCH($D80,Ladder!$A$5:$A$20,0),IF($B80=2026,1,3))+($C80-1)*16</f>
        <v>33</v>
      </c>
      <c r="G80" s="5">
        <f>INDEX(Ladder!$B$5:$E$20,MATCH($D80,Ladder!$A$5:$A$20,0),IF($B80=2026,2,4))+($C80-1)*16</f>
        <v>33</v>
      </c>
      <c r="H80" s="5" t="str">
        <f t="shared" si="1"/>
        <v>#33</v>
      </c>
      <c r="I80" s="7">
        <f>ROUND(AVERAGEIFS('Pick Values'!$B$2:$B$81,'Pick Values'!$A$2:$A$81,"&gt;="&amp;$F80,'Pick Values'!$A$2:$A$81,"&lt;="&amp;$G80),0)</f>
        <v>602</v>
      </c>
      <c r="J80" s="7">
        <f>IF($B80=2027,ROUND($I80*Ladder!$B$2,0),$I80)</f>
        <v>542</v>
      </c>
    </row>
    <row r="81" spans="1:10" x14ac:dyDescent="0.3">
      <c r="A81" s="5">
        <v>79</v>
      </c>
      <c r="B81" s="5">
        <v>2027</v>
      </c>
      <c r="C81" s="5">
        <v>4</v>
      </c>
      <c r="D81" s="6" t="s">
        <v>18</v>
      </c>
      <c r="E81" s="13" t="s">
        <v>16</v>
      </c>
      <c r="F81" s="5">
        <f>INDEX(Ladder!$B$5:$E$20,MATCH($D81,Ladder!$A$5:$A$20,0),IF($B81=2026,1,3))+($C81-1)*16</f>
        <v>49</v>
      </c>
      <c r="G81" s="5">
        <f>INDEX(Ladder!$B$5:$E$20,MATCH($D81,Ladder!$A$5:$A$20,0),IF($B81=2026,2,4))+($C81-1)*16</f>
        <v>49</v>
      </c>
      <c r="H81" s="5" t="str">
        <f t="shared" si="1"/>
        <v>#49</v>
      </c>
      <c r="I81" s="7">
        <f>ROUND(AVERAGEIFS('Pick Values'!$B$2:$B$81,'Pick Values'!$A$2:$A$81,"&gt;="&amp;$F81,'Pick Values'!$A$2:$A$81,"&lt;="&amp;$G81),0)</f>
        <v>399</v>
      </c>
      <c r="J81" s="7">
        <f>IF($B81=2027,ROUND($I81*Ladder!$B$2,0),$I81)</f>
        <v>359</v>
      </c>
    </row>
    <row r="82" spans="1:10" x14ac:dyDescent="0.3">
      <c r="A82" s="5">
        <v>80</v>
      </c>
      <c r="B82" s="5">
        <v>2027</v>
      </c>
      <c r="C82" s="5">
        <v>5</v>
      </c>
      <c r="D82" s="6" t="s">
        <v>18</v>
      </c>
      <c r="E82" s="13" t="s">
        <v>14</v>
      </c>
      <c r="F82" s="5">
        <f>INDEX(Ladder!$B$5:$E$20,MATCH($D82,Ladder!$A$5:$A$20,0),IF($B82=2026,1,3))+($C82-1)*16</f>
        <v>65</v>
      </c>
      <c r="G82" s="5">
        <f>INDEX(Ladder!$B$5:$E$20,MATCH($D82,Ladder!$A$5:$A$20,0),IF($B82=2026,2,4))+($C82-1)*16</f>
        <v>65</v>
      </c>
      <c r="H82" s="5" t="str">
        <f t="shared" si="1"/>
        <v>#65</v>
      </c>
      <c r="I82" s="7">
        <f>ROUND(AVERAGEIFS('Pick Values'!$B$2:$B$81,'Pick Values'!$A$2:$A$81,"&gt;="&amp;$F82,'Pick Values'!$A$2:$A$81,"&lt;="&amp;$G82),0)</f>
        <v>233</v>
      </c>
      <c r="J82" s="7">
        <f>IF($B82=2027,ROUND($I82*Ladder!$B$2,0),$I82)</f>
        <v>210</v>
      </c>
    </row>
    <row r="83" spans="1:10" x14ac:dyDescent="0.3">
      <c r="A83" s="5">
        <v>81</v>
      </c>
      <c r="B83" s="5">
        <v>2026</v>
      </c>
      <c r="C83" s="5">
        <v>1</v>
      </c>
      <c r="D83" s="6" t="s">
        <v>19</v>
      </c>
      <c r="E83" s="13" t="s">
        <v>19</v>
      </c>
      <c r="F83" s="5">
        <f>INDEX(Ladder!$B$5:$E$20,MATCH($D83,Ladder!$A$5:$A$20,0),IF($B83=2026,1,3))+($C83-1)*16</f>
        <v>3</v>
      </c>
      <c r="G83" s="5">
        <f>INDEX(Ladder!$B$5:$E$20,MATCH($D83,Ladder!$A$5:$A$20,0),IF($B83=2026,2,4))+($C83-1)*16</f>
        <v>4</v>
      </c>
      <c r="H83" s="5" t="str">
        <f t="shared" si="1"/>
        <v>#3-4</v>
      </c>
      <c r="I83" s="7">
        <f>ROUND(AVERAGEIFS('Pick Values'!$B$2:$B$81,'Pick Values'!$A$2:$A$81,"&gt;="&amp;$F83,'Pick Values'!$A$2:$A$81,"&lt;="&amp;$G83),0)</f>
        <v>2159</v>
      </c>
      <c r="J83" s="7">
        <f>IF($B83=2027,ROUND($I83*Ladder!$B$2,0),$I83)</f>
        <v>2159</v>
      </c>
    </row>
    <row r="84" spans="1:10" x14ac:dyDescent="0.3">
      <c r="A84" s="5">
        <v>82</v>
      </c>
      <c r="B84" s="5">
        <v>2026</v>
      </c>
      <c r="C84" s="5">
        <v>2</v>
      </c>
      <c r="D84" s="6" t="s">
        <v>19</v>
      </c>
      <c r="E84" s="13" t="s">
        <v>18</v>
      </c>
      <c r="F84" s="5">
        <f>INDEX(Ladder!$B$5:$E$20,MATCH($D84,Ladder!$A$5:$A$20,0),IF($B84=2026,1,3))+($C84-1)*16</f>
        <v>19</v>
      </c>
      <c r="G84" s="5">
        <f>INDEX(Ladder!$B$5:$E$20,MATCH($D84,Ladder!$A$5:$A$20,0),IF($B84=2026,2,4))+($C84-1)*16</f>
        <v>20</v>
      </c>
      <c r="H84" s="5" t="str">
        <f t="shared" si="1"/>
        <v>#19-20</v>
      </c>
      <c r="I84" s="7">
        <f>ROUND(AVERAGEIFS('Pick Values'!$B$2:$B$81,'Pick Values'!$A$2:$A$81,"&gt;="&amp;$F84,'Pick Values'!$A$2:$A$81,"&lt;="&amp;$G84),0)</f>
        <v>778</v>
      </c>
      <c r="J84" s="7">
        <f>IF($B84=2027,ROUND($I84*Ladder!$B$2,0),$I84)</f>
        <v>778</v>
      </c>
    </row>
    <row r="85" spans="1:10" x14ac:dyDescent="0.3">
      <c r="A85" s="5">
        <v>83</v>
      </c>
      <c r="B85" s="5">
        <v>2026</v>
      </c>
      <c r="C85" s="5">
        <v>3</v>
      </c>
      <c r="D85" s="6" t="s">
        <v>19</v>
      </c>
      <c r="E85" s="13" t="s">
        <v>18</v>
      </c>
      <c r="F85" s="5">
        <f>INDEX(Ladder!$B$5:$E$20,MATCH($D85,Ladder!$A$5:$A$20,0),IF($B85=2026,1,3))+($C85-1)*16</f>
        <v>35</v>
      </c>
      <c r="G85" s="5">
        <f>INDEX(Ladder!$B$5:$E$20,MATCH($D85,Ladder!$A$5:$A$20,0),IF($B85=2026,2,4))+($C85-1)*16</f>
        <v>36</v>
      </c>
      <c r="H85" s="5" t="str">
        <f t="shared" si="1"/>
        <v>#35-36</v>
      </c>
      <c r="I85" s="7">
        <f>ROUND(AVERAGEIFS('Pick Values'!$B$2:$B$81,'Pick Values'!$A$2:$A$81,"&gt;="&amp;$F85,'Pick Values'!$A$2:$A$81,"&lt;="&amp;$G85),0)</f>
        <v>570</v>
      </c>
      <c r="J85" s="7">
        <f>IF($B85=2027,ROUND($I85*Ladder!$B$2,0),$I85)</f>
        <v>570</v>
      </c>
    </row>
    <row r="86" spans="1:10" x14ac:dyDescent="0.3">
      <c r="A86" s="5">
        <v>84</v>
      </c>
      <c r="B86" s="5">
        <v>2026</v>
      </c>
      <c r="C86" s="5">
        <v>4</v>
      </c>
      <c r="D86" s="6" t="s">
        <v>19</v>
      </c>
      <c r="E86" s="13" t="s">
        <v>19</v>
      </c>
      <c r="F86" s="5">
        <f>INDEX(Ladder!$B$5:$E$20,MATCH($D86,Ladder!$A$5:$A$20,0),IF($B86=2026,1,3))+($C86-1)*16</f>
        <v>51</v>
      </c>
      <c r="G86" s="5">
        <f>INDEX(Ladder!$B$5:$E$20,MATCH($D86,Ladder!$A$5:$A$20,0),IF($B86=2026,2,4))+($C86-1)*16</f>
        <v>52</v>
      </c>
      <c r="H86" s="5" t="str">
        <f t="shared" si="1"/>
        <v>#51-52</v>
      </c>
      <c r="I86" s="7">
        <f>ROUND(AVERAGEIFS('Pick Values'!$B$2:$B$81,'Pick Values'!$A$2:$A$81,"&gt;="&amp;$F86,'Pick Values'!$A$2:$A$81,"&lt;="&amp;$G86),0)</f>
        <v>373</v>
      </c>
      <c r="J86" s="7">
        <f>IF($B86=2027,ROUND($I86*Ladder!$B$2,0),$I86)</f>
        <v>373</v>
      </c>
    </row>
    <row r="87" spans="1:10" x14ac:dyDescent="0.3">
      <c r="A87" s="5">
        <v>85</v>
      </c>
      <c r="B87" s="5">
        <v>2026</v>
      </c>
      <c r="C87" s="5">
        <v>5</v>
      </c>
      <c r="D87" s="6" t="s">
        <v>19</v>
      </c>
      <c r="E87" s="13" t="s">
        <v>19</v>
      </c>
      <c r="F87" s="5">
        <f>INDEX(Ladder!$B$5:$E$20,MATCH($D87,Ladder!$A$5:$A$20,0),IF($B87=2026,1,3))+($C87-1)*16</f>
        <v>67</v>
      </c>
      <c r="G87" s="5">
        <f>INDEX(Ladder!$B$5:$E$20,MATCH($D87,Ladder!$A$5:$A$20,0),IF($B87=2026,2,4))+($C87-1)*16</f>
        <v>68</v>
      </c>
      <c r="H87" s="5" t="str">
        <f t="shared" si="1"/>
        <v>#67-68</v>
      </c>
      <c r="I87" s="7">
        <f>ROUND(AVERAGEIFS('Pick Values'!$B$2:$B$81,'Pick Values'!$A$2:$A$81,"&gt;="&amp;$F87,'Pick Values'!$A$2:$A$81,"&lt;="&amp;$G87),0)</f>
        <v>213</v>
      </c>
      <c r="J87" s="7">
        <f>IF($B87=2027,ROUND($I87*Ladder!$B$2,0),$I87)</f>
        <v>213</v>
      </c>
    </row>
    <row r="88" spans="1:10" x14ac:dyDescent="0.3">
      <c r="A88" s="5">
        <v>86</v>
      </c>
      <c r="B88" s="5">
        <v>2027</v>
      </c>
      <c r="C88" s="5">
        <v>1</v>
      </c>
      <c r="D88" s="6" t="s">
        <v>19</v>
      </c>
      <c r="E88" s="13" t="s">
        <v>11</v>
      </c>
      <c r="F88" s="5">
        <f>INDEX(Ladder!$B$5:$E$20,MATCH($D88,Ladder!$A$5:$A$20,0),IF($B88=2026,1,3))+($C88-1)*16</f>
        <v>3</v>
      </c>
      <c r="G88" s="5">
        <f>INDEX(Ladder!$B$5:$E$20,MATCH($D88,Ladder!$A$5:$A$20,0),IF($B88=2026,2,4))+($C88-1)*16</f>
        <v>4</v>
      </c>
      <c r="H88" s="5" t="str">
        <f t="shared" si="1"/>
        <v>#3-4</v>
      </c>
      <c r="I88" s="7">
        <f>ROUND(AVERAGEIFS('Pick Values'!$B$2:$B$81,'Pick Values'!$A$2:$A$81,"&gt;="&amp;$F88,'Pick Values'!$A$2:$A$81,"&lt;="&amp;$G88),0)</f>
        <v>2159</v>
      </c>
      <c r="J88" s="7">
        <f>IF($B88=2027,ROUND($I88*Ladder!$B$2,0),$I88)</f>
        <v>1943</v>
      </c>
    </row>
    <row r="89" spans="1:10" x14ac:dyDescent="0.3">
      <c r="A89" s="5">
        <v>87</v>
      </c>
      <c r="B89" s="5">
        <v>2027</v>
      </c>
      <c r="C89" s="5">
        <v>2</v>
      </c>
      <c r="D89" s="6" t="s">
        <v>19</v>
      </c>
      <c r="E89" s="13" t="s">
        <v>19</v>
      </c>
      <c r="F89" s="5">
        <f>INDEX(Ladder!$B$5:$E$20,MATCH($D89,Ladder!$A$5:$A$20,0),IF($B89=2026,1,3))+($C89-1)*16</f>
        <v>19</v>
      </c>
      <c r="G89" s="5">
        <f>INDEX(Ladder!$B$5:$E$20,MATCH($D89,Ladder!$A$5:$A$20,0),IF($B89=2026,2,4))+($C89-1)*16</f>
        <v>20</v>
      </c>
      <c r="H89" s="5" t="str">
        <f t="shared" si="1"/>
        <v>#19-20</v>
      </c>
      <c r="I89" s="7">
        <f>ROUND(AVERAGEIFS('Pick Values'!$B$2:$B$81,'Pick Values'!$A$2:$A$81,"&gt;="&amp;$F89,'Pick Values'!$A$2:$A$81,"&lt;="&amp;$G89),0)</f>
        <v>778</v>
      </c>
      <c r="J89" s="7">
        <f>IF($B89=2027,ROUND($I89*Ladder!$B$2,0),$I89)</f>
        <v>700</v>
      </c>
    </row>
    <row r="90" spans="1:10" x14ac:dyDescent="0.3">
      <c r="A90" s="5">
        <v>88</v>
      </c>
      <c r="B90" s="5">
        <v>2027</v>
      </c>
      <c r="C90" s="5">
        <v>3</v>
      </c>
      <c r="D90" s="6" t="s">
        <v>19</v>
      </c>
      <c r="E90" s="13" t="s">
        <v>23</v>
      </c>
      <c r="F90" s="5">
        <f>INDEX(Ladder!$B$5:$E$20,MATCH($D90,Ladder!$A$5:$A$20,0),IF($B90=2026,1,3))+($C90-1)*16</f>
        <v>35</v>
      </c>
      <c r="G90" s="5">
        <f>INDEX(Ladder!$B$5:$E$20,MATCH($D90,Ladder!$A$5:$A$20,0),IF($B90=2026,2,4))+($C90-1)*16</f>
        <v>36</v>
      </c>
      <c r="H90" s="5" t="str">
        <f t="shared" si="1"/>
        <v>#35-36</v>
      </c>
      <c r="I90" s="7">
        <f>ROUND(AVERAGEIFS('Pick Values'!$B$2:$B$81,'Pick Values'!$A$2:$A$81,"&gt;="&amp;$F90,'Pick Values'!$A$2:$A$81,"&lt;="&amp;$G90),0)</f>
        <v>570</v>
      </c>
      <c r="J90" s="7">
        <f>IF($B90=2027,ROUND($I90*Ladder!$B$2,0),$I90)</f>
        <v>513</v>
      </c>
    </row>
    <row r="91" spans="1:10" x14ac:dyDescent="0.3">
      <c r="A91" s="5">
        <v>89</v>
      </c>
      <c r="B91" s="5">
        <v>2027</v>
      </c>
      <c r="C91" s="5">
        <v>4</v>
      </c>
      <c r="D91" s="6" t="s">
        <v>19</v>
      </c>
      <c r="E91" s="13" t="s">
        <v>12</v>
      </c>
      <c r="F91" s="5">
        <f>INDEX(Ladder!$B$5:$E$20,MATCH($D91,Ladder!$A$5:$A$20,0),IF($B91=2026,1,3))+($C91-1)*16</f>
        <v>51</v>
      </c>
      <c r="G91" s="5">
        <f>INDEX(Ladder!$B$5:$E$20,MATCH($D91,Ladder!$A$5:$A$20,0),IF($B91=2026,2,4))+($C91-1)*16</f>
        <v>52</v>
      </c>
      <c r="H91" s="5" t="str">
        <f t="shared" si="1"/>
        <v>#51-52</v>
      </c>
      <c r="I91" s="7">
        <f>ROUND(AVERAGEIFS('Pick Values'!$B$2:$B$81,'Pick Values'!$A$2:$A$81,"&gt;="&amp;$F91,'Pick Values'!$A$2:$A$81,"&lt;="&amp;$G91),0)</f>
        <v>373</v>
      </c>
      <c r="J91" s="7">
        <f>IF($B91=2027,ROUND($I91*Ladder!$B$2,0),$I91)</f>
        <v>336</v>
      </c>
    </row>
    <row r="92" spans="1:10" x14ac:dyDescent="0.3">
      <c r="A92" s="5">
        <v>90</v>
      </c>
      <c r="B92" s="5">
        <v>2027</v>
      </c>
      <c r="C92" s="5">
        <v>5</v>
      </c>
      <c r="D92" s="6" t="s">
        <v>19</v>
      </c>
      <c r="E92" s="13" t="s">
        <v>19</v>
      </c>
      <c r="F92" s="5">
        <f>INDEX(Ladder!$B$5:$E$20,MATCH($D92,Ladder!$A$5:$A$20,0),IF($B92=2026,1,3))+($C92-1)*16</f>
        <v>67</v>
      </c>
      <c r="G92" s="5">
        <f>INDEX(Ladder!$B$5:$E$20,MATCH($D92,Ladder!$A$5:$A$20,0),IF($B92=2026,2,4))+($C92-1)*16</f>
        <v>68</v>
      </c>
      <c r="H92" s="5" t="str">
        <f t="shared" si="1"/>
        <v>#67-68</v>
      </c>
      <c r="I92" s="7">
        <f>ROUND(AVERAGEIFS('Pick Values'!$B$2:$B$81,'Pick Values'!$A$2:$A$81,"&gt;="&amp;$F92,'Pick Values'!$A$2:$A$81,"&lt;="&amp;$G92),0)</f>
        <v>213</v>
      </c>
      <c r="J92" s="7">
        <f>IF($B92=2027,ROUND($I92*Ladder!$B$2,0),$I92)</f>
        <v>192</v>
      </c>
    </row>
    <row r="93" spans="1:10" x14ac:dyDescent="0.3">
      <c r="A93" s="5">
        <v>91</v>
      </c>
      <c r="B93" s="5">
        <v>2026</v>
      </c>
      <c r="C93" s="5">
        <v>1</v>
      </c>
      <c r="D93" s="6" t="s">
        <v>20</v>
      </c>
      <c r="E93" s="13" t="s">
        <v>14</v>
      </c>
      <c r="F93" s="5">
        <f>INDEX(Ladder!$B$5:$E$20,MATCH($D93,Ladder!$A$5:$A$20,0),IF($B93=2026,1,3))+($C93-1)*16</f>
        <v>15</v>
      </c>
      <c r="G93" s="5">
        <f>INDEX(Ladder!$B$5:$E$20,MATCH($D93,Ladder!$A$5:$A$20,0),IF($B93=2026,2,4))+($C93-1)*16</f>
        <v>16</v>
      </c>
      <c r="H93" s="5" t="str">
        <f t="shared" si="1"/>
        <v>#15-16</v>
      </c>
      <c r="I93" s="7">
        <f>ROUND(AVERAGEIFS('Pick Values'!$B$2:$B$81,'Pick Values'!$A$2:$A$81,"&gt;="&amp;$F93,'Pick Values'!$A$2:$A$81,"&lt;="&amp;$G93),0)</f>
        <v>1046</v>
      </c>
      <c r="J93" s="7">
        <f>IF($B93=2027,ROUND($I93*Ladder!$B$2,0),$I93)</f>
        <v>1046</v>
      </c>
    </row>
    <row r="94" spans="1:10" x14ac:dyDescent="0.3">
      <c r="A94" s="5">
        <v>92</v>
      </c>
      <c r="B94" s="5">
        <v>2026</v>
      </c>
      <c r="C94" s="5">
        <v>2</v>
      </c>
      <c r="D94" s="6" t="s">
        <v>20</v>
      </c>
      <c r="E94" s="13" t="s">
        <v>20</v>
      </c>
      <c r="F94" s="5">
        <f>INDEX(Ladder!$B$5:$E$20,MATCH($D94,Ladder!$A$5:$A$20,0),IF($B94=2026,1,3))+($C94-1)*16</f>
        <v>31</v>
      </c>
      <c r="G94" s="5">
        <f>INDEX(Ladder!$B$5:$E$20,MATCH($D94,Ladder!$A$5:$A$20,0),IF($B94=2026,2,4))+($C94-1)*16</f>
        <v>32</v>
      </c>
      <c r="H94" s="5" t="str">
        <f t="shared" si="1"/>
        <v>#31-32</v>
      </c>
      <c r="I94" s="7">
        <f>ROUND(AVERAGEIFS('Pick Values'!$B$2:$B$81,'Pick Values'!$A$2:$A$81,"&gt;="&amp;$F94,'Pick Values'!$A$2:$A$81,"&lt;="&amp;$G94),0)</f>
        <v>616</v>
      </c>
      <c r="J94" s="7">
        <f>IF($B94=2027,ROUND($I94*Ladder!$B$2,0),$I94)</f>
        <v>616</v>
      </c>
    </row>
    <row r="95" spans="1:10" x14ac:dyDescent="0.3">
      <c r="A95" s="5">
        <v>93</v>
      </c>
      <c r="B95" s="5">
        <v>2026</v>
      </c>
      <c r="C95" s="5">
        <v>3</v>
      </c>
      <c r="D95" s="6" t="s">
        <v>20</v>
      </c>
      <c r="E95" s="13" t="s">
        <v>20</v>
      </c>
      <c r="F95" s="5">
        <f>INDEX(Ladder!$B$5:$E$20,MATCH($D95,Ladder!$A$5:$A$20,0),IF($B95=2026,1,3))+($C95-1)*16</f>
        <v>47</v>
      </c>
      <c r="G95" s="5">
        <f>INDEX(Ladder!$B$5:$E$20,MATCH($D95,Ladder!$A$5:$A$20,0),IF($B95=2026,2,4))+($C95-1)*16</f>
        <v>48</v>
      </c>
      <c r="H95" s="5" t="str">
        <f t="shared" si="1"/>
        <v>#47-48</v>
      </c>
      <c r="I95" s="7">
        <f>ROUND(AVERAGEIFS('Pick Values'!$B$2:$B$81,'Pick Values'!$A$2:$A$81,"&gt;="&amp;$F95,'Pick Values'!$A$2:$A$81,"&lt;="&amp;$G95),0)</f>
        <v>418</v>
      </c>
      <c r="J95" s="7">
        <f>IF($B95=2027,ROUND($I95*Ladder!$B$2,0),$I95)</f>
        <v>418</v>
      </c>
    </row>
    <row r="96" spans="1:10" x14ac:dyDescent="0.3">
      <c r="A96" s="5">
        <v>94</v>
      </c>
      <c r="B96" s="5">
        <v>2026</v>
      </c>
      <c r="C96" s="5">
        <v>4</v>
      </c>
      <c r="D96" s="6" t="s">
        <v>20</v>
      </c>
      <c r="E96" s="13" t="s">
        <v>20</v>
      </c>
      <c r="F96" s="5">
        <f>INDEX(Ladder!$B$5:$E$20,MATCH($D96,Ladder!$A$5:$A$20,0),IF($B96=2026,1,3))+($C96-1)*16</f>
        <v>63</v>
      </c>
      <c r="G96" s="5">
        <f>INDEX(Ladder!$B$5:$E$20,MATCH($D96,Ladder!$A$5:$A$20,0),IF($B96=2026,2,4))+($C96-1)*16</f>
        <v>64</v>
      </c>
      <c r="H96" s="5" t="str">
        <f t="shared" si="1"/>
        <v>#63-64</v>
      </c>
      <c r="I96" s="7">
        <f>ROUND(AVERAGEIFS('Pick Values'!$B$2:$B$81,'Pick Values'!$A$2:$A$81,"&gt;="&amp;$F96,'Pick Values'!$A$2:$A$81,"&lt;="&amp;$G96),0)</f>
        <v>245</v>
      </c>
      <c r="J96" s="7">
        <f>IF($B96=2027,ROUND($I96*Ladder!$B$2,0),$I96)</f>
        <v>245</v>
      </c>
    </row>
    <row r="97" spans="1:10" x14ac:dyDescent="0.3">
      <c r="A97" s="5">
        <v>95</v>
      </c>
      <c r="B97" s="5">
        <v>2026</v>
      </c>
      <c r="C97" s="5">
        <v>5</v>
      </c>
      <c r="D97" s="6" t="s">
        <v>20</v>
      </c>
      <c r="E97" s="13" t="s">
        <v>20</v>
      </c>
      <c r="F97" s="5">
        <f>INDEX(Ladder!$B$5:$E$20,MATCH($D97,Ladder!$A$5:$A$20,0),IF($B97=2026,1,3))+($C97-1)*16</f>
        <v>79</v>
      </c>
      <c r="G97" s="5">
        <f>INDEX(Ladder!$B$5:$E$20,MATCH($D97,Ladder!$A$5:$A$20,0),IF($B97=2026,2,4))+($C97-1)*16</f>
        <v>80</v>
      </c>
      <c r="H97" s="5" t="str">
        <f t="shared" si="1"/>
        <v>#79-80</v>
      </c>
      <c r="I97" s="7">
        <f>ROUND(AVERAGEIFS('Pick Values'!$B$2:$B$81,'Pick Values'!$A$2:$A$81,"&gt;="&amp;$F97,'Pick Values'!$A$2:$A$81,"&lt;="&amp;$G97),0)</f>
        <v>142</v>
      </c>
      <c r="J97" s="7">
        <f>IF($B97=2027,ROUND($I97*Ladder!$B$2,0),$I97)</f>
        <v>142</v>
      </c>
    </row>
    <row r="98" spans="1:10" x14ac:dyDescent="0.3">
      <c r="A98" s="5">
        <v>96</v>
      </c>
      <c r="B98" s="5">
        <v>2027</v>
      </c>
      <c r="C98" s="5">
        <v>1</v>
      </c>
      <c r="D98" s="6" t="s">
        <v>20</v>
      </c>
      <c r="E98" s="13" t="s">
        <v>20</v>
      </c>
      <c r="F98" s="5">
        <f>INDEX(Ladder!$B$5:$E$20,MATCH($D98,Ladder!$A$5:$A$20,0),IF($B98=2026,1,3))+($C98-1)*16</f>
        <v>15</v>
      </c>
      <c r="G98" s="5">
        <f>INDEX(Ladder!$B$5:$E$20,MATCH($D98,Ladder!$A$5:$A$20,0),IF($B98=2026,2,4))+($C98-1)*16</f>
        <v>16</v>
      </c>
      <c r="H98" s="5" t="str">
        <f t="shared" si="1"/>
        <v>#15-16</v>
      </c>
      <c r="I98" s="7">
        <f>ROUND(AVERAGEIFS('Pick Values'!$B$2:$B$81,'Pick Values'!$A$2:$A$81,"&gt;="&amp;$F98,'Pick Values'!$A$2:$A$81,"&lt;="&amp;$G98),0)</f>
        <v>1046</v>
      </c>
      <c r="J98" s="7">
        <f>IF($B98=2027,ROUND($I98*Ladder!$B$2,0),$I98)</f>
        <v>941</v>
      </c>
    </row>
    <row r="99" spans="1:10" x14ac:dyDescent="0.3">
      <c r="A99" s="5">
        <v>97</v>
      </c>
      <c r="B99" s="5">
        <v>2027</v>
      </c>
      <c r="C99" s="5">
        <v>2</v>
      </c>
      <c r="D99" s="6" t="s">
        <v>20</v>
      </c>
      <c r="E99" s="13" t="s">
        <v>20</v>
      </c>
      <c r="F99" s="5">
        <f>INDEX(Ladder!$B$5:$E$20,MATCH($D99,Ladder!$A$5:$A$20,0),IF($B99=2026,1,3))+($C99-1)*16</f>
        <v>31</v>
      </c>
      <c r="G99" s="5">
        <f>INDEX(Ladder!$B$5:$E$20,MATCH($D99,Ladder!$A$5:$A$20,0),IF($B99=2026,2,4))+($C99-1)*16</f>
        <v>32</v>
      </c>
      <c r="H99" s="5" t="str">
        <f t="shared" si="1"/>
        <v>#31-32</v>
      </c>
      <c r="I99" s="7">
        <f>ROUND(AVERAGEIFS('Pick Values'!$B$2:$B$81,'Pick Values'!$A$2:$A$81,"&gt;="&amp;$F99,'Pick Values'!$A$2:$A$81,"&lt;="&amp;$G99),0)</f>
        <v>616</v>
      </c>
      <c r="J99" s="7">
        <f>IF($B99=2027,ROUND($I99*Ladder!$B$2,0),$I99)</f>
        <v>554</v>
      </c>
    </row>
    <row r="100" spans="1:10" x14ac:dyDescent="0.3">
      <c r="A100" s="5">
        <v>98</v>
      </c>
      <c r="B100" s="5">
        <v>2027</v>
      </c>
      <c r="C100" s="5">
        <v>3</v>
      </c>
      <c r="D100" s="6" t="s">
        <v>20</v>
      </c>
      <c r="E100" s="13" t="s">
        <v>20</v>
      </c>
      <c r="F100" s="5">
        <f>INDEX(Ladder!$B$5:$E$20,MATCH($D100,Ladder!$A$5:$A$20,0),IF($B100=2026,1,3))+($C100-1)*16</f>
        <v>47</v>
      </c>
      <c r="G100" s="5">
        <f>INDEX(Ladder!$B$5:$E$20,MATCH($D100,Ladder!$A$5:$A$20,0),IF($B100=2026,2,4))+($C100-1)*16</f>
        <v>48</v>
      </c>
      <c r="H100" s="5" t="str">
        <f t="shared" si="1"/>
        <v>#47-48</v>
      </c>
      <c r="I100" s="7">
        <f>ROUND(AVERAGEIFS('Pick Values'!$B$2:$B$81,'Pick Values'!$A$2:$A$81,"&gt;="&amp;$F100,'Pick Values'!$A$2:$A$81,"&lt;="&amp;$G100),0)</f>
        <v>418</v>
      </c>
      <c r="J100" s="7">
        <f>IF($B100=2027,ROUND($I100*Ladder!$B$2,0),$I100)</f>
        <v>376</v>
      </c>
    </row>
    <row r="101" spans="1:10" x14ac:dyDescent="0.3">
      <c r="A101" s="5">
        <v>99</v>
      </c>
      <c r="B101" s="5">
        <v>2027</v>
      </c>
      <c r="C101" s="5">
        <v>4</v>
      </c>
      <c r="D101" s="6" t="s">
        <v>20</v>
      </c>
      <c r="E101" s="13" t="s">
        <v>20</v>
      </c>
      <c r="F101" s="5">
        <f>INDEX(Ladder!$B$5:$E$20,MATCH($D101,Ladder!$A$5:$A$20,0),IF($B101=2026,1,3))+($C101-1)*16</f>
        <v>63</v>
      </c>
      <c r="G101" s="5">
        <f>INDEX(Ladder!$B$5:$E$20,MATCH($D101,Ladder!$A$5:$A$20,0),IF($B101=2026,2,4))+($C101-1)*16</f>
        <v>64</v>
      </c>
      <c r="H101" s="5" t="str">
        <f t="shared" si="1"/>
        <v>#63-64</v>
      </c>
      <c r="I101" s="7">
        <f>ROUND(AVERAGEIFS('Pick Values'!$B$2:$B$81,'Pick Values'!$A$2:$A$81,"&gt;="&amp;$F101,'Pick Values'!$A$2:$A$81,"&lt;="&amp;$G101),0)</f>
        <v>245</v>
      </c>
      <c r="J101" s="7">
        <f>IF($B101=2027,ROUND($I101*Ladder!$B$2,0),$I101)</f>
        <v>221</v>
      </c>
    </row>
    <row r="102" spans="1:10" x14ac:dyDescent="0.3">
      <c r="A102" s="5">
        <v>100</v>
      </c>
      <c r="B102" s="5">
        <v>2027</v>
      </c>
      <c r="C102" s="5">
        <v>5</v>
      </c>
      <c r="D102" s="6" t="s">
        <v>20</v>
      </c>
      <c r="E102" s="13" t="s">
        <v>20</v>
      </c>
      <c r="F102" s="5">
        <f>INDEX(Ladder!$B$5:$E$20,MATCH($D102,Ladder!$A$5:$A$20,0),IF($B102=2026,1,3))+($C102-1)*16</f>
        <v>79</v>
      </c>
      <c r="G102" s="5">
        <f>INDEX(Ladder!$B$5:$E$20,MATCH($D102,Ladder!$A$5:$A$20,0),IF($B102=2026,2,4))+($C102-1)*16</f>
        <v>80</v>
      </c>
      <c r="H102" s="5" t="str">
        <f t="shared" si="1"/>
        <v>#79-80</v>
      </c>
      <c r="I102" s="7">
        <f>ROUND(AVERAGEIFS('Pick Values'!$B$2:$B$81,'Pick Values'!$A$2:$A$81,"&gt;="&amp;$F102,'Pick Values'!$A$2:$A$81,"&lt;="&amp;$G102),0)</f>
        <v>142</v>
      </c>
      <c r="J102" s="7">
        <f>IF($B102=2027,ROUND($I102*Ladder!$B$2,0),$I102)</f>
        <v>128</v>
      </c>
    </row>
    <row r="103" spans="1:10" x14ac:dyDescent="0.3">
      <c r="A103" s="5">
        <v>101</v>
      </c>
      <c r="B103" s="5">
        <v>2026</v>
      </c>
      <c r="C103" s="5">
        <v>1</v>
      </c>
      <c r="D103" s="6" t="s">
        <v>21</v>
      </c>
      <c r="E103" s="13" t="s">
        <v>11</v>
      </c>
      <c r="F103" s="5">
        <f>INDEX(Ladder!$B$5:$E$20,MATCH($D103,Ladder!$A$5:$A$20,0),IF($B103=2026,1,3))+($C103-1)*16</f>
        <v>9</v>
      </c>
      <c r="G103" s="5">
        <f>INDEX(Ladder!$B$5:$E$20,MATCH($D103,Ladder!$A$5:$A$20,0),IF($B103=2026,2,4))+($C103-1)*16</f>
        <v>11</v>
      </c>
      <c r="H103" s="5" t="str">
        <f t="shared" si="1"/>
        <v>#9-11</v>
      </c>
      <c r="I103" s="7">
        <f>ROUND(AVERAGEIFS('Pick Values'!$B$2:$B$81,'Pick Values'!$A$2:$A$81,"&gt;="&amp;$F103,'Pick Values'!$A$2:$A$81,"&lt;="&amp;$G103),0)</f>
        <v>1483</v>
      </c>
      <c r="J103" s="7">
        <f>IF($B103=2027,ROUND($I103*Ladder!$B$2,0),$I103)</f>
        <v>1483</v>
      </c>
    </row>
    <row r="104" spans="1:10" x14ac:dyDescent="0.3">
      <c r="A104" s="5">
        <v>102</v>
      </c>
      <c r="B104" s="5">
        <v>2026</v>
      </c>
      <c r="C104" s="5">
        <v>2</v>
      </c>
      <c r="D104" s="6" t="s">
        <v>21</v>
      </c>
      <c r="E104" s="13" t="s">
        <v>16</v>
      </c>
      <c r="F104" s="5">
        <f>INDEX(Ladder!$B$5:$E$20,MATCH($D104,Ladder!$A$5:$A$20,0),IF($B104=2026,1,3))+($C104-1)*16</f>
        <v>25</v>
      </c>
      <c r="G104" s="5">
        <f>INDEX(Ladder!$B$5:$E$20,MATCH($D104,Ladder!$A$5:$A$20,0),IF($B104=2026,2,4))+($C104-1)*16</f>
        <v>27</v>
      </c>
      <c r="H104" s="5" t="str">
        <f t="shared" si="1"/>
        <v>#25-27</v>
      </c>
      <c r="I104" s="7">
        <f>ROUND(AVERAGEIFS('Pick Values'!$B$2:$B$81,'Pick Values'!$A$2:$A$81,"&gt;="&amp;$F104,'Pick Values'!$A$2:$A$81,"&lt;="&amp;$G104),0)</f>
        <v>624</v>
      </c>
      <c r="J104" s="7">
        <f>IF($B104=2027,ROUND($I104*Ladder!$B$2,0),$I104)</f>
        <v>624</v>
      </c>
    </row>
    <row r="105" spans="1:10" x14ac:dyDescent="0.3">
      <c r="A105" s="5">
        <v>103</v>
      </c>
      <c r="B105" s="5">
        <v>2026</v>
      </c>
      <c r="C105" s="5">
        <v>3</v>
      </c>
      <c r="D105" s="6" t="s">
        <v>21</v>
      </c>
      <c r="E105" s="13" t="s">
        <v>15</v>
      </c>
      <c r="F105" s="5">
        <f>INDEX(Ladder!$B$5:$E$20,MATCH($D105,Ladder!$A$5:$A$20,0),IF($B105=2026,1,3))+($C105-1)*16</f>
        <v>41</v>
      </c>
      <c r="G105" s="5">
        <f>INDEX(Ladder!$B$5:$E$20,MATCH($D105,Ladder!$A$5:$A$20,0),IF($B105=2026,2,4))+($C105-1)*16</f>
        <v>43</v>
      </c>
      <c r="H105" s="5" t="str">
        <f t="shared" si="1"/>
        <v>#41-43</v>
      </c>
      <c r="I105" s="7">
        <f>ROUND(AVERAGEIFS('Pick Values'!$B$2:$B$81,'Pick Values'!$A$2:$A$81,"&gt;="&amp;$F105,'Pick Values'!$A$2:$A$81,"&lt;="&amp;$G105),0)</f>
        <v>500</v>
      </c>
      <c r="J105" s="7">
        <f>IF($B105=2027,ROUND($I105*Ladder!$B$2,0),$I105)</f>
        <v>500</v>
      </c>
    </row>
    <row r="106" spans="1:10" x14ac:dyDescent="0.3">
      <c r="A106" s="5">
        <v>104</v>
      </c>
      <c r="B106" s="5">
        <v>2026</v>
      </c>
      <c r="C106" s="5">
        <v>4</v>
      </c>
      <c r="D106" s="6" t="s">
        <v>21</v>
      </c>
      <c r="E106" s="13" t="s">
        <v>13</v>
      </c>
      <c r="F106" s="5">
        <f>INDEX(Ladder!$B$5:$E$20,MATCH($D106,Ladder!$A$5:$A$20,0),IF($B106=2026,1,3))+($C106-1)*16</f>
        <v>57</v>
      </c>
      <c r="G106" s="5">
        <f>INDEX(Ladder!$B$5:$E$20,MATCH($D106,Ladder!$A$5:$A$20,0),IF($B106=2026,2,4))+($C106-1)*16</f>
        <v>59</v>
      </c>
      <c r="H106" s="5" t="str">
        <f t="shared" si="1"/>
        <v>#57-59</v>
      </c>
      <c r="I106" s="7">
        <f>ROUND(AVERAGEIFS('Pick Values'!$B$2:$B$81,'Pick Values'!$A$2:$A$81,"&gt;="&amp;$F106,'Pick Values'!$A$2:$A$81,"&lt;="&amp;$G106),0)</f>
        <v>296</v>
      </c>
      <c r="J106" s="7">
        <f>IF($B106=2027,ROUND($I106*Ladder!$B$2,0),$I106)</f>
        <v>296</v>
      </c>
    </row>
    <row r="107" spans="1:10" x14ac:dyDescent="0.3">
      <c r="A107" s="5">
        <v>105</v>
      </c>
      <c r="B107" s="5">
        <v>2026</v>
      </c>
      <c r="C107" s="5">
        <v>5</v>
      </c>
      <c r="D107" s="6" t="s">
        <v>21</v>
      </c>
      <c r="E107" s="13" t="s">
        <v>13</v>
      </c>
      <c r="F107" s="5">
        <f>INDEX(Ladder!$B$5:$E$20,MATCH($D107,Ladder!$A$5:$A$20,0),IF($B107=2026,1,3))+($C107-1)*16</f>
        <v>73</v>
      </c>
      <c r="G107" s="5">
        <f>INDEX(Ladder!$B$5:$E$20,MATCH($D107,Ladder!$A$5:$A$20,0),IF($B107=2026,2,4))+($C107-1)*16</f>
        <v>75</v>
      </c>
      <c r="H107" s="5" t="str">
        <f t="shared" si="1"/>
        <v>#73-75</v>
      </c>
      <c r="I107" s="7">
        <f>ROUND(AVERAGEIFS('Pick Values'!$B$2:$B$81,'Pick Values'!$A$2:$A$81,"&gt;="&amp;$F107,'Pick Values'!$A$2:$A$81,"&lt;="&amp;$G107),0)</f>
        <v>167</v>
      </c>
      <c r="J107" s="7">
        <f>IF($B107=2027,ROUND($I107*Ladder!$B$2,0),$I107)</f>
        <v>167</v>
      </c>
    </row>
    <row r="108" spans="1:10" x14ac:dyDescent="0.3">
      <c r="A108" s="5">
        <v>106</v>
      </c>
      <c r="B108" s="5">
        <v>2027</v>
      </c>
      <c r="C108" s="5">
        <v>1</v>
      </c>
      <c r="D108" s="6" t="s">
        <v>21</v>
      </c>
      <c r="E108" s="13" t="s">
        <v>15</v>
      </c>
      <c r="F108" s="5">
        <f>INDEX(Ladder!$B$5:$E$20,MATCH($D108,Ladder!$A$5:$A$20,0),IF($B108=2026,1,3))+($C108-1)*16</f>
        <v>9</v>
      </c>
      <c r="G108" s="5">
        <f>INDEX(Ladder!$B$5:$E$20,MATCH($D108,Ladder!$A$5:$A$20,0),IF($B108=2026,2,4))+($C108-1)*16</f>
        <v>11</v>
      </c>
      <c r="H108" s="5" t="str">
        <f t="shared" si="1"/>
        <v>#9-11</v>
      </c>
      <c r="I108" s="7">
        <f>ROUND(AVERAGEIFS('Pick Values'!$B$2:$B$81,'Pick Values'!$A$2:$A$81,"&gt;="&amp;$F108,'Pick Values'!$A$2:$A$81,"&lt;="&amp;$G108),0)</f>
        <v>1483</v>
      </c>
      <c r="J108" s="7">
        <f>IF($B108=2027,ROUND($I108*Ladder!$B$2,0),$I108)</f>
        <v>1335</v>
      </c>
    </row>
    <row r="109" spans="1:10" x14ac:dyDescent="0.3">
      <c r="A109" s="5">
        <v>107</v>
      </c>
      <c r="B109" s="5">
        <v>2027</v>
      </c>
      <c r="C109" s="5">
        <v>2</v>
      </c>
      <c r="D109" s="6" t="s">
        <v>21</v>
      </c>
      <c r="E109" s="13" t="s">
        <v>19</v>
      </c>
      <c r="F109" s="5">
        <f>INDEX(Ladder!$B$5:$E$20,MATCH($D109,Ladder!$A$5:$A$20,0),IF($B109=2026,1,3))+($C109-1)*16</f>
        <v>25</v>
      </c>
      <c r="G109" s="5">
        <f>INDEX(Ladder!$B$5:$E$20,MATCH($D109,Ladder!$A$5:$A$20,0),IF($B109=2026,2,4))+($C109-1)*16</f>
        <v>27</v>
      </c>
      <c r="H109" s="5" t="str">
        <f t="shared" si="1"/>
        <v>#25-27</v>
      </c>
      <c r="I109" s="7">
        <f>ROUND(AVERAGEIFS('Pick Values'!$B$2:$B$81,'Pick Values'!$A$2:$A$81,"&gt;="&amp;$F109,'Pick Values'!$A$2:$A$81,"&lt;="&amp;$G109),0)</f>
        <v>624</v>
      </c>
      <c r="J109" s="7">
        <f>IF($B109=2027,ROUND($I109*Ladder!$B$2,0),$I109)</f>
        <v>562</v>
      </c>
    </row>
    <row r="110" spans="1:10" x14ac:dyDescent="0.3">
      <c r="A110" s="5">
        <v>108</v>
      </c>
      <c r="B110" s="5">
        <v>2027</v>
      </c>
      <c r="C110" s="5">
        <v>3</v>
      </c>
      <c r="D110" s="6" t="s">
        <v>21</v>
      </c>
      <c r="E110" s="13" t="s">
        <v>21</v>
      </c>
      <c r="F110" s="5">
        <f>INDEX(Ladder!$B$5:$E$20,MATCH($D110,Ladder!$A$5:$A$20,0),IF($B110=2026,1,3))+($C110-1)*16</f>
        <v>41</v>
      </c>
      <c r="G110" s="5">
        <f>INDEX(Ladder!$B$5:$E$20,MATCH($D110,Ladder!$A$5:$A$20,0),IF($B110=2026,2,4))+($C110-1)*16</f>
        <v>43</v>
      </c>
      <c r="H110" s="5" t="str">
        <f t="shared" si="1"/>
        <v>#41-43</v>
      </c>
      <c r="I110" s="7">
        <f>ROUND(AVERAGEIFS('Pick Values'!$B$2:$B$81,'Pick Values'!$A$2:$A$81,"&gt;="&amp;$F110,'Pick Values'!$A$2:$A$81,"&lt;="&amp;$G110),0)</f>
        <v>500</v>
      </c>
      <c r="J110" s="7">
        <f>IF($B110=2027,ROUND($I110*Ladder!$B$2,0),$I110)</f>
        <v>450</v>
      </c>
    </row>
    <row r="111" spans="1:10" x14ac:dyDescent="0.3">
      <c r="A111" s="5">
        <v>109</v>
      </c>
      <c r="B111" s="5">
        <v>2027</v>
      </c>
      <c r="C111" s="5">
        <v>4</v>
      </c>
      <c r="D111" s="6" t="s">
        <v>21</v>
      </c>
      <c r="E111" s="13" t="s">
        <v>21</v>
      </c>
      <c r="F111" s="5">
        <f>INDEX(Ladder!$B$5:$E$20,MATCH($D111,Ladder!$A$5:$A$20,0),IF($B111=2026,1,3))+($C111-1)*16</f>
        <v>57</v>
      </c>
      <c r="G111" s="5">
        <f>INDEX(Ladder!$B$5:$E$20,MATCH($D111,Ladder!$A$5:$A$20,0),IF($B111=2026,2,4))+($C111-1)*16</f>
        <v>59</v>
      </c>
      <c r="H111" s="5" t="str">
        <f t="shared" si="1"/>
        <v>#57-59</v>
      </c>
      <c r="I111" s="7">
        <f>ROUND(AVERAGEIFS('Pick Values'!$B$2:$B$81,'Pick Values'!$A$2:$A$81,"&gt;="&amp;$F111,'Pick Values'!$A$2:$A$81,"&lt;="&amp;$G111),0)</f>
        <v>296</v>
      </c>
      <c r="J111" s="7">
        <f>IF($B111=2027,ROUND($I111*Ladder!$B$2,0),$I111)</f>
        <v>266</v>
      </c>
    </row>
    <row r="112" spans="1:10" x14ac:dyDescent="0.3">
      <c r="A112" s="5">
        <v>110</v>
      </c>
      <c r="B112" s="5">
        <v>2027</v>
      </c>
      <c r="C112" s="5">
        <v>5</v>
      </c>
      <c r="D112" s="6" t="s">
        <v>21</v>
      </c>
      <c r="E112" s="13" t="s">
        <v>21</v>
      </c>
      <c r="F112" s="5">
        <f>INDEX(Ladder!$B$5:$E$20,MATCH($D112,Ladder!$A$5:$A$20,0),IF($B112=2026,1,3))+($C112-1)*16</f>
        <v>73</v>
      </c>
      <c r="G112" s="5">
        <f>INDEX(Ladder!$B$5:$E$20,MATCH($D112,Ladder!$A$5:$A$20,0),IF($B112=2026,2,4))+($C112-1)*16</f>
        <v>75</v>
      </c>
      <c r="H112" s="5" t="str">
        <f t="shared" si="1"/>
        <v>#73-75</v>
      </c>
      <c r="I112" s="7">
        <f>ROUND(AVERAGEIFS('Pick Values'!$B$2:$B$81,'Pick Values'!$A$2:$A$81,"&gt;="&amp;$F112,'Pick Values'!$A$2:$A$81,"&lt;="&amp;$G112),0)</f>
        <v>167</v>
      </c>
      <c r="J112" s="7">
        <f>IF($B112=2027,ROUND($I112*Ladder!$B$2,0),$I112)</f>
        <v>150</v>
      </c>
    </row>
    <row r="113" spans="1:10" x14ac:dyDescent="0.3">
      <c r="A113" s="5">
        <v>111</v>
      </c>
      <c r="B113" s="5">
        <v>2026</v>
      </c>
      <c r="C113" s="5">
        <v>1</v>
      </c>
      <c r="D113" s="6" t="s">
        <v>22</v>
      </c>
      <c r="E113" s="13" t="s">
        <v>18</v>
      </c>
      <c r="F113" s="5">
        <f>INDEX(Ladder!$B$5:$E$20,MATCH($D113,Ladder!$A$5:$A$20,0),IF($B113=2026,1,3))+($C113-1)*16</f>
        <v>6</v>
      </c>
      <c r="G113" s="5">
        <f>INDEX(Ladder!$B$5:$E$20,MATCH($D113,Ladder!$A$5:$A$20,0),IF($B113=2026,2,4))+($C113-1)*16</f>
        <v>7</v>
      </c>
      <c r="H113" s="5" t="str">
        <f t="shared" si="1"/>
        <v>#6-7</v>
      </c>
      <c r="I113" s="7">
        <f>ROUND(AVERAGEIFS('Pick Values'!$B$2:$B$81,'Pick Values'!$A$2:$A$81,"&gt;="&amp;$F113,'Pick Values'!$A$2:$A$81,"&lt;="&amp;$G113),0)</f>
        <v>1824</v>
      </c>
      <c r="J113" s="7">
        <f>IF($B113=2027,ROUND($I113*Ladder!$B$2,0),$I113)</f>
        <v>1824</v>
      </c>
    </row>
    <row r="114" spans="1:10" x14ac:dyDescent="0.3">
      <c r="A114" s="5">
        <v>112</v>
      </c>
      <c r="B114" s="5">
        <v>2026</v>
      </c>
      <c r="C114" s="5">
        <v>2</v>
      </c>
      <c r="D114" s="6" t="s">
        <v>22</v>
      </c>
      <c r="E114" s="13" t="s">
        <v>16</v>
      </c>
      <c r="F114" s="5">
        <f>INDEX(Ladder!$B$5:$E$20,MATCH($D114,Ladder!$A$5:$A$20,0),IF($B114=2026,1,3))+($C114-1)*16</f>
        <v>22</v>
      </c>
      <c r="G114" s="5">
        <f>INDEX(Ladder!$B$5:$E$20,MATCH($D114,Ladder!$A$5:$A$20,0),IF($B114=2026,2,4))+($C114-1)*16</f>
        <v>23</v>
      </c>
      <c r="H114" s="5" t="str">
        <f t="shared" si="1"/>
        <v>#22-23</v>
      </c>
      <c r="I114" s="7">
        <f>ROUND(AVERAGEIFS('Pick Values'!$B$2:$B$81,'Pick Values'!$A$2:$A$81,"&gt;="&amp;$F114,'Pick Values'!$A$2:$A$81,"&lt;="&amp;$G114),0)</f>
        <v>643</v>
      </c>
      <c r="J114" s="7">
        <f>IF($B114=2027,ROUND($I114*Ladder!$B$2,0),$I114)</f>
        <v>643</v>
      </c>
    </row>
    <row r="115" spans="1:10" x14ac:dyDescent="0.3">
      <c r="A115" s="5">
        <v>113</v>
      </c>
      <c r="B115" s="5">
        <v>2026</v>
      </c>
      <c r="C115" s="5">
        <v>3</v>
      </c>
      <c r="D115" s="6" t="s">
        <v>22</v>
      </c>
      <c r="E115" s="13" t="s">
        <v>14</v>
      </c>
      <c r="F115" s="5">
        <f>INDEX(Ladder!$B$5:$E$20,MATCH($D115,Ladder!$A$5:$A$20,0),IF($B115=2026,1,3))+($C115-1)*16</f>
        <v>38</v>
      </c>
      <c r="G115" s="5">
        <f>INDEX(Ladder!$B$5:$E$20,MATCH($D115,Ladder!$A$5:$A$20,0),IF($B115=2026,2,4))+($C115-1)*16</f>
        <v>39</v>
      </c>
      <c r="H115" s="5" t="str">
        <f t="shared" si="1"/>
        <v>#38-39</v>
      </c>
      <c r="I115" s="7">
        <f>ROUND(AVERAGEIFS('Pick Values'!$B$2:$B$81,'Pick Values'!$A$2:$A$81,"&gt;="&amp;$F115,'Pick Values'!$A$2:$A$81,"&lt;="&amp;$G115),0)</f>
        <v>540</v>
      </c>
      <c r="J115" s="7">
        <f>IF($B115=2027,ROUND($I115*Ladder!$B$2,0),$I115)</f>
        <v>540</v>
      </c>
    </row>
    <row r="116" spans="1:10" x14ac:dyDescent="0.3">
      <c r="A116" s="5">
        <v>114</v>
      </c>
      <c r="B116" s="5">
        <v>2026</v>
      </c>
      <c r="C116" s="5">
        <v>4</v>
      </c>
      <c r="D116" s="6" t="s">
        <v>22</v>
      </c>
      <c r="E116" s="13" t="s">
        <v>14</v>
      </c>
      <c r="F116" s="5">
        <f>INDEX(Ladder!$B$5:$E$20,MATCH($D116,Ladder!$A$5:$A$20,0),IF($B116=2026,1,3))+($C116-1)*16</f>
        <v>54</v>
      </c>
      <c r="G116" s="5">
        <f>INDEX(Ladder!$B$5:$E$20,MATCH($D116,Ladder!$A$5:$A$20,0),IF($B116=2026,2,4))+($C116-1)*16</f>
        <v>55</v>
      </c>
      <c r="H116" s="5" t="str">
        <f t="shared" si="1"/>
        <v>#54-55</v>
      </c>
      <c r="I116" s="7">
        <f>ROUND(AVERAGEIFS('Pick Values'!$B$2:$B$81,'Pick Values'!$A$2:$A$81,"&gt;="&amp;$F116,'Pick Values'!$A$2:$A$81,"&lt;="&amp;$G116),0)</f>
        <v>340</v>
      </c>
      <c r="J116" s="7">
        <f>IF($B116=2027,ROUND($I116*Ladder!$B$2,0),$I116)</f>
        <v>340</v>
      </c>
    </row>
    <row r="117" spans="1:10" x14ac:dyDescent="0.3">
      <c r="A117" s="5">
        <v>115</v>
      </c>
      <c r="B117" s="5">
        <v>2026</v>
      </c>
      <c r="C117" s="5">
        <v>5</v>
      </c>
      <c r="D117" s="6" t="s">
        <v>22</v>
      </c>
      <c r="E117" s="13" t="s">
        <v>25</v>
      </c>
      <c r="F117" s="5">
        <f>INDEX(Ladder!$B$5:$E$20,MATCH($D117,Ladder!$A$5:$A$20,0),IF($B117=2026,1,3))+($C117-1)*16</f>
        <v>70</v>
      </c>
      <c r="G117" s="5">
        <f>INDEX(Ladder!$B$5:$E$20,MATCH($D117,Ladder!$A$5:$A$20,0),IF($B117=2026,2,4))+($C117-1)*16</f>
        <v>71</v>
      </c>
      <c r="H117" s="5" t="str">
        <f t="shared" si="1"/>
        <v>#70-71</v>
      </c>
      <c r="I117" s="7">
        <f>ROUND(AVERAGEIFS('Pick Values'!$B$2:$B$81,'Pick Values'!$A$2:$A$81,"&gt;="&amp;$F117,'Pick Values'!$A$2:$A$81,"&lt;="&amp;$G117),0)</f>
        <v>191</v>
      </c>
      <c r="J117" s="7">
        <f>IF($B117=2027,ROUND($I117*Ladder!$B$2,0),$I117)</f>
        <v>191</v>
      </c>
    </row>
    <row r="118" spans="1:10" x14ac:dyDescent="0.3">
      <c r="A118" s="5">
        <v>116</v>
      </c>
      <c r="B118" s="5">
        <v>2027</v>
      </c>
      <c r="C118" s="5">
        <v>1</v>
      </c>
      <c r="D118" s="6" t="s">
        <v>22</v>
      </c>
      <c r="E118" s="13" t="s">
        <v>22</v>
      </c>
      <c r="F118" s="5">
        <f>INDEX(Ladder!$B$5:$E$20,MATCH($D118,Ladder!$A$5:$A$20,0),IF($B118=2026,1,3))+($C118-1)*16</f>
        <v>6</v>
      </c>
      <c r="G118" s="5">
        <f>INDEX(Ladder!$B$5:$E$20,MATCH($D118,Ladder!$A$5:$A$20,0),IF($B118=2026,2,4))+($C118-1)*16</f>
        <v>7</v>
      </c>
      <c r="H118" s="5" t="str">
        <f t="shared" si="1"/>
        <v>#6-7</v>
      </c>
      <c r="I118" s="7">
        <f>ROUND(AVERAGEIFS('Pick Values'!$B$2:$B$81,'Pick Values'!$A$2:$A$81,"&gt;="&amp;$F118,'Pick Values'!$A$2:$A$81,"&lt;="&amp;$G118),0)</f>
        <v>1824</v>
      </c>
      <c r="J118" s="7">
        <f>IF($B118=2027,ROUND($I118*Ladder!$B$2,0),$I118)</f>
        <v>1642</v>
      </c>
    </row>
    <row r="119" spans="1:10" x14ac:dyDescent="0.3">
      <c r="A119" s="5">
        <v>117</v>
      </c>
      <c r="B119" s="5">
        <v>2027</v>
      </c>
      <c r="C119" s="5">
        <v>2</v>
      </c>
      <c r="D119" s="6" t="s">
        <v>22</v>
      </c>
      <c r="E119" s="13" t="s">
        <v>18</v>
      </c>
      <c r="F119" s="5">
        <f>INDEX(Ladder!$B$5:$E$20,MATCH($D119,Ladder!$A$5:$A$20,0),IF($B119=2026,1,3))+($C119-1)*16</f>
        <v>22</v>
      </c>
      <c r="G119" s="5">
        <f>INDEX(Ladder!$B$5:$E$20,MATCH($D119,Ladder!$A$5:$A$20,0),IF($B119=2026,2,4))+($C119-1)*16</f>
        <v>23</v>
      </c>
      <c r="H119" s="5" t="str">
        <f t="shared" si="1"/>
        <v>#22-23</v>
      </c>
      <c r="I119" s="7">
        <f>ROUND(AVERAGEIFS('Pick Values'!$B$2:$B$81,'Pick Values'!$A$2:$A$81,"&gt;="&amp;$F119,'Pick Values'!$A$2:$A$81,"&lt;="&amp;$G119),0)</f>
        <v>643</v>
      </c>
      <c r="J119" s="7">
        <f>IF($B119=2027,ROUND($I119*Ladder!$B$2,0),$I119)</f>
        <v>579</v>
      </c>
    </row>
    <row r="120" spans="1:10" x14ac:dyDescent="0.3">
      <c r="A120" s="5">
        <v>118</v>
      </c>
      <c r="B120" s="5">
        <v>2027</v>
      </c>
      <c r="C120" s="5">
        <v>3</v>
      </c>
      <c r="D120" s="6" t="s">
        <v>22</v>
      </c>
      <c r="E120" s="13" t="s">
        <v>15</v>
      </c>
      <c r="F120" s="5">
        <f>INDEX(Ladder!$B$5:$E$20,MATCH($D120,Ladder!$A$5:$A$20,0),IF($B120=2026,1,3))+($C120-1)*16</f>
        <v>38</v>
      </c>
      <c r="G120" s="5">
        <f>INDEX(Ladder!$B$5:$E$20,MATCH($D120,Ladder!$A$5:$A$20,0),IF($B120=2026,2,4))+($C120-1)*16</f>
        <v>39</v>
      </c>
      <c r="H120" s="5" t="str">
        <f t="shared" si="1"/>
        <v>#38-39</v>
      </c>
      <c r="I120" s="7">
        <f>ROUND(AVERAGEIFS('Pick Values'!$B$2:$B$81,'Pick Values'!$A$2:$A$81,"&gt;="&amp;$F120,'Pick Values'!$A$2:$A$81,"&lt;="&amp;$G120),0)</f>
        <v>540</v>
      </c>
      <c r="J120" s="7">
        <f>IF($B120=2027,ROUND($I120*Ladder!$B$2,0),$I120)</f>
        <v>486</v>
      </c>
    </row>
    <row r="121" spans="1:10" x14ac:dyDescent="0.3">
      <c r="A121" s="5">
        <v>119</v>
      </c>
      <c r="B121" s="5">
        <v>2027</v>
      </c>
      <c r="C121" s="5">
        <v>4</v>
      </c>
      <c r="D121" s="6" t="s">
        <v>22</v>
      </c>
      <c r="E121" s="13" t="s">
        <v>18</v>
      </c>
      <c r="F121" s="5">
        <f>INDEX(Ladder!$B$5:$E$20,MATCH($D121,Ladder!$A$5:$A$20,0),IF($B121=2026,1,3))+($C121-1)*16</f>
        <v>54</v>
      </c>
      <c r="G121" s="5">
        <f>INDEX(Ladder!$B$5:$E$20,MATCH($D121,Ladder!$A$5:$A$20,0),IF($B121=2026,2,4))+($C121-1)*16</f>
        <v>55</v>
      </c>
      <c r="H121" s="5" t="str">
        <f t="shared" si="1"/>
        <v>#54-55</v>
      </c>
      <c r="I121" s="7">
        <f>ROUND(AVERAGEIFS('Pick Values'!$B$2:$B$81,'Pick Values'!$A$2:$A$81,"&gt;="&amp;$F121,'Pick Values'!$A$2:$A$81,"&lt;="&amp;$G121),0)</f>
        <v>340</v>
      </c>
      <c r="J121" s="7">
        <f>IF($B121=2027,ROUND($I121*Ladder!$B$2,0),$I121)</f>
        <v>306</v>
      </c>
    </row>
    <row r="122" spans="1:10" x14ac:dyDescent="0.3">
      <c r="A122" s="5">
        <v>120</v>
      </c>
      <c r="B122" s="5">
        <v>2027</v>
      </c>
      <c r="C122" s="5">
        <v>5</v>
      </c>
      <c r="D122" s="6" t="s">
        <v>22</v>
      </c>
      <c r="E122" s="13" t="s">
        <v>22</v>
      </c>
      <c r="F122" s="5">
        <f>INDEX(Ladder!$B$5:$E$20,MATCH($D122,Ladder!$A$5:$A$20,0),IF($B122=2026,1,3))+($C122-1)*16</f>
        <v>70</v>
      </c>
      <c r="G122" s="5">
        <f>INDEX(Ladder!$B$5:$E$20,MATCH($D122,Ladder!$A$5:$A$20,0),IF($B122=2026,2,4))+($C122-1)*16</f>
        <v>71</v>
      </c>
      <c r="H122" s="5" t="str">
        <f t="shared" si="1"/>
        <v>#70-71</v>
      </c>
      <c r="I122" s="7">
        <f>ROUND(AVERAGEIFS('Pick Values'!$B$2:$B$81,'Pick Values'!$A$2:$A$81,"&gt;="&amp;$F122,'Pick Values'!$A$2:$A$81,"&lt;="&amp;$G122),0)</f>
        <v>191</v>
      </c>
      <c r="J122" s="7">
        <f>IF($B122=2027,ROUND($I122*Ladder!$B$2,0),$I122)</f>
        <v>172</v>
      </c>
    </row>
    <row r="123" spans="1:10" x14ac:dyDescent="0.3">
      <c r="A123" s="5">
        <v>121</v>
      </c>
      <c r="B123" s="5">
        <v>2026</v>
      </c>
      <c r="C123" s="5">
        <v>1</v>
      </c>
      <c r="D123" s="6" t="s">
        <v>23</v>
      </c>
      <c r="E123" s="13" t="s">
        <v>18</v>
      </c>
      <c r="F123" s="5">
        <f>INDEX(Ladder!$B$5:$E$20,MATCH($D123,Ladder!$A$5:$A$20,0),IF($B123=2026,1,3))+($C123-1)*16</f>
        <v>12</v>
      </c>
      <c r="G123" s="5">
        <f>INDEX(Ladder!$B$5:$E$20,MATCH($D123,Ladder!$A$5:$A$20,0),IF($B123=2026,2,4))+($C123-1)*16</f>
        <v>14</v>
      </c>
      <c r="H123" s="5" t="str">
        <f t="shared" si="1"/>
        <v>#12-14</v>
      </c>
      <c r="I123" s="7">
        <f>ROUND(AVERAGEIFS('Pick Values'!$B$2:$B$81,'Pick Values'!$A$2:$A$81,"&gt;="&amp;$F123,'Pick Values'!$A$2:$A$81,"&lt;="&amp;$G123),0)</f>
        <v>1203</v>
      </c>
      <c r="J123" s="7">
        <f>IF($B123=2027,ROUND($I123*Ladder!$B$2,0),$I123)</f>
        <v>1203</v>
      </c>
    </row>
    <row r="124" spans="1:10" x14ac:dyDescent="0.3">
      <c r="A124" s="5">
        <v>122</v>
      </c>
      <c r="B124" s="5">
        <v>2026</v>
      </c>
      <c r="C124" s="5">
        <v>2</v>
      </c>
      <c r="D124" s="6" t="s">
        <v>23</v>
      </c>
      <c r="E124" s="13" t="s">
        <v>16</v>
      </c>
      <c r="F124" s="5">
        <f>INDEX(Ladder!$B$5:$E$20,MATCH($D124,Ladder!$A$5:$A$20,0),IF($B124=2026,1,3))+($C124-1)*16</f>
        <v>28</v>
      </c>
      <c r="G124" s="5">
        <f>INDEX(Ladder!$B$5:$E$20,MATCH($D124,Ladder!$A$5:$A$20,0),IF($B124=2026,2,4))+($C124-1)*16</f>
        <v>30</v>
      </c>
      <c r="H124" s="5" t="str">
        <f t="shared" si="1"/>
        <v>#28-30</v>
      </c>
      <c r="I124" s="7">
        <f>ROUND(AVERAGEIFS('Pick Values'!$B$2:$B$81,'Pick Values'!$A$2:$A$81,"&gt;="&amp;$F124,'Pick Values'!$A$2:$A$81,"&lt;="&amp;$G124),0)</f>
        <v>619</v>
      </c>
      <c r="J124" s="7">
        <f>IF($B124=2027,ROUND($I124*Ladder!$B$2,0),$I124)</f>
        <v>619</v>
      </c>
    </row>
    <row r="125" spans="1:10" x14ac:dyDescent="0.3">
      <c r="A125" s="5">
        <v>123</v>
      </c>
      <c r="B125" s="5">
        <v>2026</v>
      </c>
      <c r="C125" s="5">
        <v>3</v>
      </c>
      <c r="D125" s="6" t="s">
        <v>23</v>
      </c>
      <c r="E125" s="13" t="s">
        <v>21</v>
      </c>
      <c r="F125" s="5">
        <f>INDEX(Ladder!$B$5:$E$20,MATCH($D125,Ladder!$A$5:$A$20,0),IF($B125=2026,1,3))+($C125-1)*16</f>
        <v>44</v>
      </c>
      <c r="G125" s="5">
        <f>INDEX(Ladder!$B$5:$E$20,MATCH($D125,Ladder!$A$5:$A$20,0),IF($B125=2026,2,4))+($C125-1)*16</f>
        <v>46</v>
      </c>
      <c r="H125" s="5" t="str">
        <f t="shared" si="1"/>
        <v>#44-46</v>
      </c>
      <c r="I125" s="7">
        <f>ROUND(AVERAGEIFS('Pick Values'!$B$2:$B$81,'Pick Values'!$A$2:$A$81,"&gt;="&amp;$F125,'Pick Values'!$A$2:$A$81,"&lt;="&amp;$G125),0)</f>
        <v>453</v>
      </c>
      <c r="J125" s="7">
        <f>IF($B125=2027,ROUND($I125*Ladder!$B$2,0),$I125)</f>
        <v>453</v>
      </c>
    </row>
    <row r="126" spans="1:10" x14ac:dyDescent="0.3">
      <c r="A126" s="5">
        <v>124</v>
      </c>
      <c r="B126" s="5">
        <v>2026</v>
      </c>
      <c r="C126" s="5">
        <v>4</v>
      </c>
      <c r="D126" s="6" t="s">
        <v>23</v>
      </c>
      <c r="E126" s="13" t="s">
        <v>17</v>
      </c>
      <c r="F126" s="5">
        <f>INDEX(Ladder!$B$5:$E$20,MATCH($D126,Ladder!$A$5:$A$20,0),IF($B126=2026,1,3))+($C126-1)*16</f>
        <v>60</v>
      </c>
      <c r="G126" s="5">
        <f>INDEX(Ladder!$B$5:$E$20,MATCH($D126,Ladder!$A$5:$A$20,0),IF($B126=2026,2,4))+($C126-1)*16</f>
        <v>62</v>
      </c>
      <c r="H126" s="5" t="str">
        <f t="shared" si="1"/>
        <v>#60-62</v>
      </c>
      <c r="I126" s="7">
        <f>ROUND(AVERAGEIFS('Pick Values'!$B$2:$B$81,'Pick Values'!$A$2:$A$81,"&gt;="&amp;$F126,'Pick Values'!$A$2:$A$81,"&lt;="&amp;$G126),0)</f>
        <v>267</v>
      </c>
      <c r="J126" s="7">
        <f>IF($B126=2027,ROUND($I126*Ladder!$B$2,0),$I126)</f>
        <v>267</v>
      </c>
    </row>
    <row r="127" spans="1:10" x14ac:dyDescent="0.3">
      <c r="A127" s="5">
        <v>125</v>
      </c>
      <c r="B127" s="5">
        <v>2026</v>
      </c>
      <c r="C127" s="5">
        <v>5</v>
      </c>
      <c r="D127" s="6" t="s">
        <v>23</v>
      </c>
      <c r="E127" s="13" t="s">
        <v>21</v>
      </c>
      <c r="F127" s="5">
        <f>INDEX(Ladder!$B$5:$E$20,MATCH($D127,Ladder!$A$5:$A$20,0),IF($B127=2026,1,3))+($C127-1)*16</f>
        <v>76</v>
      </c>
      <c r="G127" s="5">
        <f>INDEX(Ladder!$B$5:$E$20,MATCH($D127,Ladder!$A$5:$A$20,0),IF($B127=2026,2,4))+($C127-1)*16</f>
        <v>78</v>
      </c>
      <c r="H127" s="5" t="str">
        <f t="shared" si="1"/>
        <v>#76-78</v>
      </c>
      <c r="I127" s="7">
        <f>ROUND(AVERAGEIFS('Pick Values'!$B$2:$B$81,'Pick Values'!$A$2:$A$81,"&gt;="&amp;$F127,'Pick Values'!$A$2:$A$81,"&lt;="&amp;$G127),0)</f>
        <v>151</v>
      </c>
      <c r="J127" s="7">
        <f>IF($B127=2027,ROUND($I127*Ladder!$B$2,0),$I127)</f>
        <v>151</v>
      </c>
    </row>
    <row r="128" spans="1:10" x14ac:dyDescent="0.3">
      <c r="A128" s="5">
        <v>126</v>
      </c>
      <c r="B128" s="5">
        <v>2027</v>
      </c>
      <c r="C128" s="5">
        <v>1</v>
      </c>
      <c r="D128" s="6" t="s">
        <v>23</v>
      </c>
      <c r="E128" s="13" t="s">
        <v>23</v>
      </c>
      <c r="F128" s="5">
        <f>INDEX(Ladder!$B$5:$E$20,MATCH($D128,Ladder!$A$5:$A$20,0),IF($B128=2026,1,3))+($C128-1)*16</f>
        <v>12</v>
      </c>
      <c r="G128" s="5">
        <f>INDEX(Ladder!$B$5:$E$20,MATCH($D128,Ladder!$A$5:$A$20,0),IF($B128=2026,2,4))+($C128-1)*16</f>
        <v>14</v>
      </c>
      <c r="H128" s="5" t="str">
        <f t="shared" si="1"/>
        <v>#12-14</v>
      </c>
      <c r="I128" s="7">
        <f>ROUND(AVERAGEIFS('Pick Values'!$B$2:$B$81,'Pick Values'!$A$2:$A$81,"&gt;="&amp;$F128,'Pick Values'!$A$2:$A$81,"&lt;="&amp;$G128),0)</f>
        <v>1203</v>
      </c>
      <c r="J128" s="7">
        <f>IF($B128=2027,ROUND($I128*Ladder!$B$2,0),$I128)</f>
        <v>1083</v>
      </c>
    </row>
    <row r="129" spans="1:10" x14ac:dyDescent="0.3">
      <c r="A129" s="5">
        <v>127</v>
      </c>
      <c r="B129" s="5">
        <v>2027</v>
      </c>
      <c r="C129" s="5">
        <v>2</v>
      </c>
      <c r="D129" s="6" t="s">
        <v>23</v>
      </c>
      <c r="E129" s="13" t="s">
        <v>23</v>
      </c>
      <c r="F129" s="5">
        <f>INDEX(Ladder!$B$5:$E$20,MATCH($D129,Ladder!$A$5:$A$20,0),IF($B129=2026,1,3))+($C129-1)*16</f>
        <v>28</v>
      </c>
      <c r="G129" s="5">
        <f>INDEX(Ladder!$B$5:$E$20,MATCH($D129,Ladder!$A$5:$A$20,0),IF($B129=2026,2,4))+($C129-1)*16</f>
        <v>30</v>
      </c>
      <c r="H129" s="5" t="str">
        <f t="shared" si="1"/>
        <v>#28-30</v>
      </c>
      <c r="I129" s="7">
        <f>ROUND(AVERAGEIFS('Pick Values'!$B$2:$B$81,'Pick Values'!$A$2:$A$81,"&gt;="&amp;$F129,'Pick Values'!$A$2:$A$81,"&lt;="&amp;$G129),0)</f>
        <v>619</v>
      </c>
      <c r="J129" s="7">
        <f>IF($B129=2027,ROUND($I129*Ladder!$B$2,0),$I129)</f>
        <v>557</v>
      </c>
    </row>
    <row r="130" spans="1:10" x14ac:dyDescent="0.3">
      <c r="A130" s="5">
        <v>128</v>
      </c>
      <c r="B130" s="5">
        <v>2027</v>
      </c>
      <c r="C130" s="5">
        <v>3</v>
      </c>
      <c r="D130" s="6" t="s">
        <v>23</v>
      </c>
      <c r="E130" s="13" t="s">
        <v>23</v>
      </c>
      <c r="F130" s="5">
        <f>INDEX(Ladder!$B$5:$E$20,MATCH($D130,Ladder!$A$5:$A$20,0),IF($B130=2026,1,3))+($C130-1)*16</f>
        <v>44</v>
      </c>
      <c r="G130" s="5">
        <f>INDEX(Ladder!$B$5:$E$20,MATCH($D130,Ladder!$A$5:$A$20,0),IF($B130=2026,2,4))+($C130-1)*16</f>
        <v>46</v>
      </c>
      <c r="H130" s="5" t="str">
        <f t="shared" si="1"/>
        <v>#44-46</v>
      </c>
      <c r="I130" s="7">
        <f>ROUND(AVERAGEIFS('Pick Values'!$B$2:$B$81,'Pick Values'!$A$2:$A$81,"&gt;="&amp;$F130,'Pick Values'!$A$2:$A$81,"&lt;="&amp;$G130),0)</f>
        <v>453</v>
      </c>
      <c r="J130" s="7">
        <f>IF($B130=2027,ROUND($I130*Ladder!$B$2,0),$I130)</f>
        <v>408</v>
      </c>
    </row>
    <row r="131" spans="1:10" x14ac:dyDescent="0.3">
      <c r="A131" s="5">
        <v>129</v>
      </c>
      <c r="B131" s="5">
        <v>2027</v>
      </c>
      <c r="C131" s="5">
        <v>4</v>
      </c>
      <c r="D131" s="6" t="s">
        <v>23</v>
      </c>
      <c r="E131" s="13" t="s">
        <v>13</v>
      </c>
      <c r="F131" s="5">
        <f>INDEX(Ladder!$B$5:$E$20,MATCH($D131,Ladder!$A$5:$A$20,0),IF($B131=2026,1,3))+($C131-1)*16</f>
        <v>60</v>
      </c>
      <c r="G131" s="5">
        <f>INDEX(Ladder!$B$5:$E$20,MATCH($D131,Ladder!$A$5:$A$20,0),IF($B131=2026,2,4))+($C131-1)*16</f>
        <v>62</v>
      </c>
      <c r="H131" s="5" t="str">
        <f t="shared" ref="H131:H162" si="2">IF($F131=$G131,"#"&amp;$F131,"#"&amp;$F131&amp;"-"&amp;$G131)</f>
        <v>#60-62</v>
      </c>
      <c r="I131" s="7">
        <f>ROUND(AVERAGEIFS('Pick Values'!$B$2:$B$81,'Pick Values'!$A$2:$A$81,"&gt;="&amp;$F131,'Pick Values'!$A$2:$A$81,"&lt;="&amp;$G131),0)</f>
        <v>267</v>
      </c>
      <c r="J131" s="7">
        <f>IF($B131=2027,ROUND($I131*Ladder!$B$2,0),$I131)</f>
        <v>240</v>
      </c>
    </row>
    <row r="132" spans="1:10" x14ac:dyDescent="0.3">
      <c r="A132" s="5">
        <v>130</v>
      </c>
      <c r="B132" s="5">
        <v>2027</v>
      </c>
      <c r="C132" s="5">
        <v>5</v>
      </c>
      <c r="D132" s="6" t="s">
        <v>23</v>
      </c>
      <c r="E132" s="13" t="s">
        <v>13</v>
      </c>
      <c r="F132" s="5">
        <f>INDEX(Ladder!$B$5:$E$20,MATCH($D132,Ladder!$A$5:$A$20,0),IF($B132=2026,1,3))+($C132-1)*16</f>
        <v>76</v>
      </c>
      <c r="G132" s="5">
        <f>INDEX(Ladder!$B$5:$E$20,MATCH($D132,Ladder!$A$5:$A$20,0),IF($B132=2026,2,4))+($C132-1)*16</f>
        <v>78</v>
      </c>
      <c r="H132" s="5" t="str">
        <f t="shared" si="2"/>
        <v>#76-78</v>
      </c>
      <c r="I132" s="7">
        <f>ROUND(AVERAGEIFS('Pick Values'!$B$2:$B$81,'Pick Values'!$A$2:$A$81,"&gt;="&amp;$F132,'Pick Values'!$A$2:$A$81,"&lt;="&amp;$G132),0)</f>
        <v>151</v>
      </c>
      <c r="J132" s="7">
        <f>IF($B132=2027,ROUND($I132*Ladder!$B$2,0),$I132)</f>
        <v>136</v>
      </c>
    </row>
    <row r="133" spans="1:10" x14ac:dyDescent="0.3">
      <c r="A133" s="5">
        <v>131</v>
      </c>
      <c r="B133" s="5">
        <v>2026</v>
      </c>
      <c r="C133" s="5">
        <v>1</v>
      </c>
      <c r="D133" s="6" t="s">
        <v>24</v>
      </c>
      <c r="E133" s="13" t="s">
        <v>19</v>
      </c>
      <c r="F133" s="5">
        <f>INDEX(Ladder!$B$5:$E$20,MATCH($D133,Ladder!$A$5:$A$20,0),IF($B133=2026,1,3))+($C133-1)*16</f>
        <v>12</v>
      </c>
      <c r="G133" s="5">
        <f>INDEX(Ladder!$B$5:$E$20,MATCH($D133,Ladder!$A$5:$A$20,0),IF($B133=2026,2,4))+($C133-1)*16</f>
        <v>14</v>
      </c>
      <c r="H133" s="5" t="str">
        <f t="shared" si="2"/>
        <v>#12-14</v>
      </c>
      <c r="I133" s="7">
        <f>ROUND(AVERAGEIFS('Pick Values'!$B$2:$B$81,'Pick Values'!$A$2:$A$81,"&gt;="&amp;$F133,'Pick Values'!$A$2:$A$81,"&lt;="&amp;$G133),0)</f>
        <v>1203</v>
      </c>
      <c r="J133" s="7">
        <f>IF($B133=2027,ROUND($I133*Ladder!$B$2,0),$I133)</f>
        <v>1203</v>
      </c>
    </row>
    <row r="134" spans="1:10" x14ac:dyDescent="0.3">
      <c r="A134" s="5">
        <v>132</v>
      </c>
      <c r="B134" s="5">
        <v>2026</v>
      </c>
      <c r="C134" s="5">
        <v>2</v>
      </c>
      <c r="D134" s="6" t="s">
        <v>24</v>
      </c>
      <c r="E134" s="13" t="s">
        <v>24</v>
      </c>
      <c r="F134" s="5">
        <f>INDEX(Ladder!$B$5:$E$20,MATCH($D134,Ladder!$A$5:$A$20,0),IF($B134=2026,1,3))+($C134-1)*16</f>
        <v>28</v>
      </c>
      <c r="G134" s="5">
        <f>INDEX(Ladder!$B$5:$E$20,MATCH($D134,Ladder!$A$5:$A$20,0),IF($B134=2026,2,4))+($C134-1)*16</f>
        <v>30</v>
      </c>
      <c r="H134" s="5" t="str">
        <f t="shared" si="2"/>
        <v>#28-30</v>
      </c>
      <c r="I134" s="7">
        <f>ROUND(AVERAGEIFS('Pick Values'!$B$2:$B$81,'Pick Values'!$A$2:$A$81,"&gt;="&amp;$F134,'Pick Values'!$A$2:$A$81,"&lt;="&amp;$G134),0)</f>
        <v>619</v>
      </c>
      <c r="J134" s="7">
        <f>IF($B134=2027,ROUND($I134*Ladder!$B$2,0),$I134)</f>
        <v>619</v>
      </c>
    </row>
    <row r="135" spans="1:10" x14ac:dyDescent="0.3">
      <c r="A135" s="5">
        <v>133</v>
      </c>
      <c r="B135" s="5">
        <v>2026</v>
      </c>
      <c r="C135" s="5">
        <v>3</v>
      </c>
      <c r="D135" s="6" t="s">
        <v>24</v>
      </c>
      <c r="E135" s="13" t="s">
        <v>16</v>
      </c>
      <c r="F135" s="5">
        <f>INDEX(Ladder!$B$5:$E$20,MATCH($D135,Ladder!$A$5:$A$20,0),IF($B135=2026,1,3))+($C135-1)*16</f>
        <v>44</v>
      </c>
      <c r="G135" s="5">
        <f>INDEX(Ladder!$B$5:$E$20,MATCH($D135,Ladder!$A$5:$A$20,0),IF($B135=2026,2,4))+($C135-1)*16</f>
        <v>46</v>
      </c>
      <c r="H135" s="5" t="str">
        <f t="shared" si="2"/>
        <v>#44-46</v>
      </c>
      <c r="I135" s="7">
        <f>ROUND(AVERAGEIFS('Pick Values'!$B$2:$B$81,'Pick Values'!$A$2:$A$81,"&gt;="&amp;$F135,'Pick Values'!$A$2:$A$81,"&lt;="&amp;$G135),0)</f>
        <v>453</v>
      </c>
      <c r="J135" s="7">
        <f>IF($B135=2027,ROUND($I135*Ladder!$B$2,0),$I135)</f>
        <v>453</v>
      </c>
    </row>
    <row r="136" spans="1:10" x14ac:dyDescent="0.3">
      <c r="A136" s="5">
        <v>134</v>
      </c>
      <c r="B136" s="5">
        <v>2026</v>
      </c>
      <c r="C136" s="5">
        <v>4</v>
      </c>
      <c r="D136" s="6" t="s">
        <v>24</v>
      </c>
      <c r="E136" s="13" t="s">
        <v>24</v>
      </c>
      <c r="F136" s="5">
        <f>INDEX(Ladder!$B$5:$E$20,MATCH($D136,Ladder!$A$5:$A$20,0),IF($B136=2026,1,3))+($C136-1)*16</f>
        <v>60</v>
      </c>
      <c r="G136" s="5">
        <f>INDEX(Ladder!$B$5:$E$20,MATCH($D136,Ladder!$A$5:$A$20,0),IF($B136=2026,2,4))+($C136-1)*16</f>
        <v>62</v>
      </c>
      <c r="H136" s="5" t="str">
        <f t="shared" si="2"/>
        <v>#60-62</v>
      </c>
      <c r="I136" s="7">
        <f>ROUND(AVERAGEIFS('Pick Values'!$B$2:$B$81,'Pick Values'!$A$2:$A$81,"&gt;="&amp;$F136,'Pick Values'!$A$2:$A$81,"&lt;="&amp;$G136),0)</f>
        <v>267</v>
      </c>
      <c r="J136" s="7">
        <f>IF($B136=2027,ROUND($I136*Ladder!$B$2,0),$I136)</f>
        <v>267</v>
      </c>
    </row>
    <row r="137" spans="1:10" x14ac:dyDescent="0.3">
      <c r="A137" s="5">
        <v>135</v>
      </c>
      <c r="B137" s="5">
        <v>2026</v>
      </c>
      <c r="C137" s="5">
        <v>5</v>
      </c>
      <c r="D137" s="6" t="s">
        <v>24</v>
      </c>
      <c r="E137" s="13" t="s">
        <v>22</v>
      </c>
      <c r="F137" s="5">
        <f>INDEX(Ladder!$B$5:$E$20,MATCH($D137,Ladder!$A$5:$A$20,0),IF($B137=2026,1,3))+($C137-1)*16</f>
        <v>76</v>
      </c>
      <c r="G137" s="5">
        <f>INDEX(Ladder!$B$5:$E$20,MATCH($D137,Ladder!$A$5:$A$20,0),IF($B137=2026,2,4))+($C137-1)*16</f>
        <v>78</v>
      </c>
      <c r="H137" s="5" t="str">
        <f t="shared" si="2"/>
        <v>#76-78</v>
      </c>
      <c r="I137" s="7">
        <f>ROUND(AVERAGEIFS('Pick Values'!$B$2:$B$81,'Pick Values'!$A$2:$A$81,"&gt;="&amp;$F137,'Pick Values'!$A$2:$A$81,"&lt;="&amp;$G137),0)</f>
        <v>151</v>
      </c>
      <c r="J137" s="7">
        <f>IF($B137=2027,ROUND($I137*Ladder!$B$2,0),$I137)</f>
        <v>151</v>
      </c>
    </row>
    <row r="138" spans="1:10" x14ac:dyDescent="0.3">
      <c r="A138" s="5">
        <v>136</v>
      </c>
      <c r="B138" s="5">
        <v>2027</v>
      </c>
      <c r="C138" s="5">
        <v>1</v>
      </c>
      <c r="D138" s="6" t="s">
        <v>24</v>
      </c>
      <c r="E138" s="13" t="s">
        <v>17</v>
      </c>
      <c r="F138" s="5">
        <f>INDEX(Ladder!$B$5:$E$20,MATCH($D138,Ladder!$A$5:$A$20,0),IF($B138=2026,1,3))+($C138-1)*16</f>
        <v>12</v>
      </c>
      <c r="G138" s="5">
        <f>INDEX(Ladder!$B$5:$E$20,MATCH($D138,Ladder!$A$5:$A$20,0),IF($B138=2026,2,4))+($C138-1)*16</f>
        <v>14</v>
      </c>
      <c r="H138" s="5" t="str">
        <f t="shared" si="2"/>
        <v>#12-14</v>
      </c>
      <c r="I138" s="7">
        <f>ROUND(AVERAGEIFS('Pick Values'!$B$2:$B$81,'Pick Values'!$A$2:$A$81,"&gt;="&amp;$F138,'Pick Values'!$A$2:$A$81,"&lt;="&amp;$G138),0)</f>
        <v>1203</v>
      </c>
      <c r="J138" s="7">
        <f>IF($B138=2027,ROUND($I138*Ladder!$B$2,0),$I138)</f>
        <v>1083</v>
      </c>
    </row>
    <row r="139" spans="1:10" x14ac:dyDescent="0.3">
      <c r="A139" s="5">
        <v>137</v>
      </c>
      <c r="B139" s="5">
        <v>2027</v>
      </c>
      <c r="C139" s="5">
        <v>2</v>
      </c>
      <c r="D139" s="6" t="s">
        <v>24</v>
      </c>
      <c r="E139" s="13" t="s">
        <v>24</v>
      </c>
      <c r="F139" s="5">
        <f>INDEX(Ladder!$B$5:$E$20,MATCH($D139,Ladder!$A$5:$A$20,0),IF($B139=2026,1,3))+($C139-1)*16</f>
        <v>28</v>
      </c>
      <c r="G139" s="5">
        <f>INDEX(Ladder!$B$5:$E$20,MATCH($D139,Ladder!$A$5:$A$20,0),IF($B139=2026,2,4))+($C139-1)*16</f>
        <v>30</v>
      </c>
      <c r="H139" s="5" t="str">
        <f t="shared" si="2"/>
        <v>#28-30</v>
      </c>
      <c r="I139" s="7">
        <f>ROUND(AVERAGEIFS('Pick Values'!$B$2:$B$81,'Pick Values'!$A$2:$A$81,"&gt;="&amp;$F139,'Pick Values'!$A$2:$A$81,"&lt;="&amp;$G139),0)</f>
        <v>619</v>
      </c>
      <c r="J139" s="7">
        <f>IF($B139=2027,ROUND($I139*Ladder!$B$2,0),$I139)</f>
        <v>557</v>
      </c>
    </row>
    <row r="140" spans="1:10" x14ac:dyDescent="0.3">
      <c r="A140" s="5">
        <v>138</v>
      </c>
      <c r="B140" s="5">
        <v>2027</v>
      </c>
      <c r="C140" s="5">
        <v>3</v>
      </c>
      <c r="D140" s="6" t="s">
        <v>24</v>
      </c>
      <c r="E140" s="13" t="s">
        <v>24</v>
      </c>
      <c r="F140" s="5">
        <f>INDEX(Ladder!$B$5:$E$20,MATCH($D140,Ladder!$A$5:$A$20,0),IF($B140=2026,1,3))+($C140-1)*16</f>
        <v>44</v>
      </c>
      <c r="G140" s="5">
        <f>INDEX(Ladder!$B$5:$E$20,MATCH($D140,Ladder!$A$5:$A$20,0),IF($B140=2026,2,4))+($C140-1)*16</f>
        <v>46</v>
      </c>
      <c r="H140" s="5" t="str">
        <f t="shared" si="2"/>
        <v>#44-46</v>
      </c>
      <c r="I140" s="7">
        <f>ROUND(AVERAGEIFS('Pick Values'!$B$2:$B$81,'Pick Values'!$A$2:$A$81,"&gt;="&amp;$F140,'Pick Values'!$A$2:$A$81,"&lt;="&amp;$G140),0)</f>
        <v>453</v>
      </c>
      <c r="J140" s="7">
        <f>IF($B140=2027,ROUND($I140*Ladder!$B$2,0),$I140)</f>
        <v>408</v>
      </c>
    </row>
    <row r="141" spans="1:10" x14ac:dyDescent="0.3">
      <c r="A141" s="5">
        <v>139</v>
      </c>
      <c r="B141" s="5">
        <v>2027</v>
      </c>
      <c r="C141" s="5">
        <v>4</v>
      </c>
      <c r="D141" s="6" t="s">
        <v>24</v>
      </c>
      <c r="E141" s="13" t="s">
        <v>24</v>
      </c>
      <c r="F141" s="5">
        <f>INDEX(Ladder!$B$5:$E$20,MATCH($D141,Ladder!$A$5:$A$20,0),IF($B141=2026,1,3))+($C141-1)*16</f>
        <v>60</v>
      </c>
      <c r="G141" s="5">
        <f>INDEX(Ladder!$B$5:$E$20,MATCH($D141,Ladder!$A$5:$A$20,0),IF($B141=2026,2,4))+($C141-1)*16</f>
        <v>62</v>
      </c>
      <c r="H141" s="5" t="str">
        <f t="shared" si="2"/>
        <v>#60-62</v>
      </c>
      <c r="I141" s="7">
        <f>ROUND(AVERAGEIFS('Pick Values'!$B$2:$B$81,'Pick Values'!$A$2:$A$81,"&gt;="&amp;$F141,'Pick Values'!$A$2:$A$81,"&lt;="&amp;$G141),0)</f>
        <v>267</v>
      </c>
      <c r="J141" s="7">
        <f>IF($B141=2027,ROUND($I141*Ladder!$B$2,0),$I141)</f>
        <v>240</v>
      </c>
    </row>
    <row r="142" spans="1:10" x14ac:dyDescent="0.3">
      <c r="A142" s="5">
        <v>140</v>
      </c>
      <c r="B142" s="5">
        <v>2027</v>
      </c>
      <c r="C142" s="5">
        <v>5</v>
      </c>
      <c r="D142" s="6" t="s">
        <v>24</v>
      </c>
      <c r="E142" s="13" t="s">
        <v>24</v>
      </c>
      <c r="F142" s="5">
        <f>INDEX(Ladder!$B$5:$E$20,MATCH($D142,Ladder!$A$5:$A$20,0),IF($B142=2026,1,3))+($C142-1)*16</f>
        <v>76</v>
      </c>
      <c r="G142" s="5">
        <f>INDEX(Ladder!$B$5:$E$20,MATCH($D142,Ladder!$A$5:$A$20,0),IF($B142=2026,2,4))+($C142-1)*16</f>
        <v>78</v>
      </c>
      <c r="H142" s="5" t="str">
        <f t="shared" si="2"/>
        <v>#76-78</v>
      </c>
      <c r="I142" s="7">
        <f>ROUND(AVERAGEIFS('Pick Values'!$B$2:$B$81,'Pick Values'!$A$2:$A$81,"&gt;="&amp;$F142,'Pick Values'!$A$2:$A$81,"&lt;="&amp;$G142),0)</f>
        <v>151</v>
      </c>
      <c r="J142" s="7">
        <f>IF($B142=2027,ROUND($I142*Ladder!$B$2,0),$I142)</f>
        <v>136</v>
      </c>
    </row>
    <row r="143" spans="1:10" x14ac:dyDescent="0.3">
      <c r="A143" s="5">
        <v>141</v>
      </c>
      <c r="B143" s="5">
        <v>2026</v>
      </c>
      <c r="C143" s="5">
        <v>1</v>
      </c>
      <c r="D143" s="6" t="s">
        <v>25</v>
      </c>
      <c r="E143" s="13" t="s">
        <v>24</v>
      </c>
      <c r="F143" s="5">
        <f>INDEX(Ladder!$B$5:$E$20,MATCH($D143,Ladder!$A$5:$A$20,0),IF($B143=2026,1,3))+($C143-1)*16</f>
        <v>15</v>
      </c>
      <c r="G143" s="5">
        <f>INDEX(Ladder!$B$5:$E$20,MATCH($D143,Ladder!$A$5:$A$20,0),IF($B143=2026,2,4))+($C143-1)*16</f>
        <v>16</v>
      </c>
      <c r="H143" s="5" t="str">
        <f t="shared" si="2"/>
        <v>#15-16</v>
      </c>
      <c r="I143" s="7">
        <f>ROUND(AVERAGEIFS('Pick Values'!$B$2:$B$81,'Pick Values'!$A$2:$A$81,"&gt;="&amp;$F143,'Pick Values'!$A$2:$A$81,"&lt;="&amp;$G143),0)</f>
        <v>1046</v>
      </c>
      <c r="J143" s="7">
        <f>IF($B143=2027,ROUND($I143*Ladder!$B$2,0),$I143)</f>
        <v>1046</v>
      </c>
    </row>
    <row r="144" spans="1:10" x14ac:dyDescent="0.3">
      <c r="A144" s="5">
        <v>142</v>
      </c>
      <c r="B144" s="5">
        <v>2026</v>
      </c>
      <c r="C144" s="5">
        <v>2</v>
      </c>
      <c r="D144" s="6" t="s">
        <v>25</v>
      </c>
      <c r="E144" s="13" t="s">
        <v>14</v>
      </c>
      <c r="F144" s="5">
        <f>INDEX(Ladder!$B$5:$E$20,MATCH($D144,Ladder!$A$5:$A$20,0),IF($B144=2026,1,3))+($C144-1)*16</f>
        <v>31</v>
      </c>
      <c r="G144" s="5">
        <f>INDEX(Ladder!$B$5:$E$20,MATCH($D144,Ladder!$A$5:$A$20,0),IF($B144=2026,2,4))+($C144-1)*16</f>
        <v>32</v>
      </c>
      <c r="H144" s="5" t="str">
        <f t="shared" si="2"/>
        <v>#31-32</v>
      </c>
      <c r="I144" s="7">
        <f>ROUND(AVERAGEIFS('Pick Values'!$B$2:$B$81,'Pick Values'!$A$2:$A$81,"&gt;="&amp;$F144,'Pick Values'!$A$2:$A$81,"&lt;="&amp;$G144),0)</f>
        <v>616</v>
      </c>
      <c r="J144" s="7">
        <f>IF($B144=2027,ROUND($I144*Ladder!$B$2,0),$I144)</f>
        <v>616</v>
      </c>
    </row>
    <row r="145" spans="1:10" x14ac:dyDescent="0.3">
      <c r="A145" s="5">
        <v>143</v>
      </c>
      <c r="B145" s="5">
        <v>2026</v>
      </c>
      <c r="C145" s="5">
        <v>3</v>
      </c>
      <c r="D145" s="6" t="s">
        <v>25</v>
      </c>
      <c r="E145" s="13" t="s">
        <v>23</v>
      </c>
      <c r="F145" s="5">
        <f>INDEX(Ladder!$B$5:$E$20,MATCH($D145,Ladder!$A$5:$A$20,0),IF($B145=2026,1,3))+($C145-1)*16</f>
        <v>47</v>
      </c>
      <c r="G145" s="5">
        <f>INDEX(Ladder!$B$5:$E$20,MATCH($D145,Ladder!$A$5:$A$20,0),IF($B145=2026,2,4))+($C145-1)*16</f>
        <v>48</v>
      </c>
      <c r="H145" s="5" t="str">
        <f t="shared" si="2"/>
        <v>#47-48</v>
      </c>
      <c r="I145" s="7">
        <f>ROUND(AVERAGEIFS('Pick Values'!$B$2:$B$81,'Pick Values'!$A$2:$A$81,"&gt;="&amp;$F145,'Pick Values'!$A$2:$A$81,"&lt;="&amp;$G145),0)</f>
        <v>418</v>
      </c>
      <c r="J145" s="7">
        <f>IF($B145=2027,ROUND($I145*Ladder!$B$2,0),$I145)</f>
        <v>418</v>
      </c>
    </row>
    <row r="146" spans="1:10" x14ac:dyDescent="0.3">
      <c r="A146" s="5">
        <v>144</v>
      </c>
      <c r="B146" s="5">
        <v>2026</v>
      </c>
      <c r="C146" s="5">
        <v>4</v>
      </c>
      <c r="D146" s="6" t="s">
        <v>25</v>
      </c>
      <c r="E146" s="13" t="s">
        <v>16</v>
      </c>
      <c r="F146" s="5">
        <f>INDEX(Ladder!$B$5:$E$20,MATCH($D146,Ladder!$A$5:$A$20,0),IF($B146=2026,1,3))+($C146-1)*16</f>
        <v>63</v>
      </c>
      <c r="G146" s="5">
        <f>INDEX(Ladder!$B$5:$E$20,MATCH($D146,Ladder!$A$5:$A$20,0),IF($B146=2026,2,4))+($C146-1)*16</f>
        <v>64</v>
      </c>
      <c r="H146" s="5" t="str">
        <f t="shared" si="2"/>
        <v>#63-64</v>
      </c>
      <c r="I146" s="7">
        <f>ROUND(AVERAGEIFS('Pick Values'!$B$2:$B$81,'Pick Values'!$A$2:$A$81,"&gt;="&amp;$F146,'Pick Values'!$A$2:$A$81,"&lt;="&amp;$G146),0)</f>
        <v>245</v>
      </c>
      <c r="J146" s="7">
        <f>IF($B146=2027,ROUND($I146*Ladder!$B$2,0),$I146)</f>
        <v>245</v>
      </c>
    </row>
    <row r="147" spans="1:10" x14ac:dyDescent="0.3">
      <c r="A147" s="5">
        <v>145</v>
      </c>
      <c r="B147" s="5">
        <v>2026</v>
      </c>
      <c r="C147" s="5">
        <v>5</v>
      </c>
      <c r="D147" s="6" t="s">
        <v>25</v>
      </c>
      <c r="E147" s="13" t="s">
        <v>11</v>
      </c>
      <c r="F147" s="5">
        <f>INDEX(Ladder!$B$5:$E$20,MATCH($D147,Ladder!$A$5:$A$20,0),IF($B147=2026,1,3))+($C147-1)*16</f>
        <v>79</v>
      </c>
      <c r="G147" s="5">
        <f>INDEX(Ladder!$B$5:$E$20,MATCH($D147,Ladder!$A$5:$A$20,0),IF($B147=2026,2,4))+($C147-1)*16</f>
        <v>80</v>
      </c>
      <c r="H147" s="5" t="str">
        <f t="shared" si="2"/>
        <v>#79-80</v>
      </c>
      <c r="I147" s="7">
        <f>ROUND(AVERAGEIFS('Pick Values'!$B$2:$B$81,'Pick Values'!$A$2:$A$81,"&gt;="&amp;$F147,'Pick Values'!$A$2:$A$81,"&lt;="&amp;$G147),0)</f>
        <v>142</v>
      </c>
      <c r="J147" s="7">
        <f>IF($B147=2027,ROUND($I147*Ladder!$B$2,0),$I147)</f>
        <v>142</v>
      </c>
    </row>
    <row r="148" spans="1:10" x14ac:dyDescent="0.3">
      <c r="A148" s="5">
        <v>146</v>
      </c>
      <c r="B148" s="5">
        <v>2027</v>
      </c>
      <c r="C148" s="5">
        <v>1</v>
      </c>
      <c r="D148" s="6" t="s">
        <v>25</v>
      </c>
      <c r="E148" s="13" t="s">
        <v>11</v>
      </c>
      <c r="F148" s="5">
        <f>INDEX(Ladder!$B$5:$E$20,MATCH($D148,Ladder!$A$5:$A$20,0),IF($B148=2026,1,3))+($C148-1)*16</f>
        <v>15</v>
      </c>
      <c r="G148" s="5">
        <f>INDEX(Ladder!$B$5:$E$20,MATCH($D148,Ladder!$A$5:$A$20,0),IF($B148=2026,2,4))+($C148-1)*16</f>
        <v>16</v>
      </c>
      <c r="H148" s="5" t="str">
        <f t="shared" si="2"/>
        <v>#15-16</v>
      </c>
      <c r="I148" s="7">
        <f>ROUND(AVERAGEIFS('Pick Values'!$B$2:$B$81,'Pick Values'!$A$2:$A$81,"&gt;="&amp;$F148,'Pick Values'!$A$2:$A$81,"&lt;="&amp;$G148),0)</f>
        <v>1046</v>
      </c>
      <c r="J148" s="7">
        <f>IF($B148=2027,ROUND($I148*Ladder!$B$2,0),$I148)</f>
        <v>941</v>
      </c>
    </row>
    <row r="149" spans="1:10" x14ac:dyDescent="0.3">
      <c r="A149" s="5">
        <v>147</v>
      </c>
      <c r="B149" s="5">
        <v>2027</v>
      </c>
      <c r="C149" s="5">
        <v>2</v>
      </c>
      <c r="D149" s="6" t="s">
        <v>25</v>
      </c>
      <c r="E149" s="13" t="s">
        <v>14</v>
      </c>
      <c r="F149" s="5">
        <f>INDEX(Ladder!$B$5:$E$20,MATCH($D149,Ladder!$A$5:$A$20,0),IF($B149=2026,1,3))+($C149-1)*16</f>
        <v>31</v>
      </c>
      <c r="G149" s="5">
        <f>INDEX(Ladder!$B$5:$E$20,MATCH($D149,Ladder!$A$5:$A$20,0),IF($B149=2026,2,4))+($C149-1)*16</f>
        <v>32</v>
      </c>
      <c r="H149" s="5" t="str">
        <f t="shared" si="2"/>
        <v>#31-32</v>
      </c>
      <c r="I149" s="7">
        <f>ROUND(AVERAGEIFS('Pick Values'!$B$2:$B$81,'Pick Values'!$A$2:$A$81,"&gt;="&amp;$F149,'Pick Values'!$A$2:$A$81,"&lt;="&amp;$G149),0)</f>
        <v>616</v>
      </c>
      <c r="J149" s="7">
        <f>IF($B149=2027,ROUND($I149*Ladder!$B$2,0),$I149)</f>
        <v>554</v>
      </c>
    </row>
    <row r="150" spans="1:10" x14ac:dyDescent="0.3">
      <c r="A150" s="5">
        <v>148</v>
      </c>
      <c r="B150" s="5">
        <v>2027</v>
      </c>
      <c r="C150" s="5">
        <v>3</v>
      </c>
      <c r="D150" s="6" t="s">
        <v>25</v>
      </c>
      <c r="E150" s="13" t="s">
        <v>24</v>
      </c>
      <c r="F150" s="5">
        <f>INDEX(Ladder!$B$5:$E$20,MATCH($D150,Ladder!$A$5:$A$20,0),IF($B150=2026,1,3))+($C150-1)*16</f>
        <v>47</v>
      </c>
      <c r="G150" s="5">
        <f>INDEX(Ladder!$B$5:$E$20,MATCH($D150,Ladder!$A$5:$A$20,0),IF($B150=2026,2,4))+($C150-1)*16</f>
        <v>48</v>
      </c>
      <c r="H150" s="5" t="str">
        <f t="shared" si="2"/>
        <v>#47-48</v>
      </c>
      <c r="I150" s="7">
        <f>ROUND(AVERAGEIFS('Pick Values'!$B$2:$B$81,'Pick Values'!$A$2:$A$81,"&gt;="&amp;$F150,'Pick Values'!$A$2:$A$81,"&lt;="&amp;$G150),0)</f>
        <v>418</v>
      </c>
      <c r="J150" s="7">
        <f>IF($B150=2027,ROUND($I150*Ladder!$B$2,0),$I150)</f>
        <v>376</v>
      </c>
    </row>
    <row r="151" spans="1:10" x14ac:dyDescent="0.3">
      <c r="A151" s="5">
        <v>149</v>
      </c>
      <c r="B151" s="5">
        <v>2027</v>
      </c>
      <c r="C151" s="5">
        <v>4</v>
      </c>
      <c r="D151" s="6" t="s">
        <v>25</v>
      </c>
      <c r="E151" s="13" t="s">
        <v>11</v>
      </c>
      <c r="F151" s="5">
        <f>INDEX(Ladder!$B$5:$E$20,MATCH($D151,Ladder!$A$5:$A$20,0),IF($B151=2026,1,3))+($C151-1)*16</f>
        <v>63</v>
      </c>
      <c r="G151" s="5">
        <f>INDEX(Ladder!$B$5:$E$20,MATCH($D151,Ladder!$A$5:$A$20,0),IF($B151=2026,2,4))+($C151-1)*16</f>
        <v>64</v>
      </c>
      <c r="H151" s="5" t="str">
        <f t="shared" si="2"/>
        <v>#63-64</v>
      </c>
      <c r="I151" s="7">
        <f>ROUND(AVERAGEIFS('Pick Values'!$B$2:$B$81,'Pick Values'!$A$2:$A$81,"&gt;="&amp;$F151,'Pick Values'!$A$2:$A$81,"&lt;="&amp;$G151),0)</f>
        <v>245</v>
      </c>
      <c r="J151" s="7">
        <f>IF($B151=2027,ROUND($I151*Ladder!$B$2,0),$I151)</f>
        <v>221</v>
      </c>
    </row>
    <row r="152" spans="1:10" x14ac:dyDescent="0.3">
      <c r="A152" s="5">
        <v>150</v>
      </c>
      <c r="B152" s="5">
        <v>2027</v>
      </c>
      <c r="C152" s="5">
        <v>5</v>
      </c>
      <c r="D152" s="6" t="s">
        <v>25</v>
      </c>
      <c r="E152" s="13" t="s">
        <v>25</v>
      </c>
      <c r="F152" s="5">
        <f>INDEX(Ladder!$B$5:$E$20,MATCH($D152,Ladder!$A$5:$A$20,0),IF($B152=2026,1,3))+($C152-1)*16</f>
        <v>79</v>
      </c>
      <c r="G152" s="5">
        <f>INDEX(Ladder!$B$5:$E$20,MATCH($D152,Ladder!$A$5:$A$20,0),IF($B152=2026,2,4))+($C152-1)*16</f>
        <v>80</v>
      </c>
      <c r="H152" s="5" t="str">
        <f t="shared" si="2"/>
        <v>#79-80</v>
      </c>
      <c r="I152" s="7">
        <f>ROUND(AVERAGEIFS('Pick Values'!$B$2:$B$81,'Pick Values'!$A$2:$A$81,"&gt;="&amp;$F152,'Pick Values'!$A$2:$A$81,"&lt;="&amp;$G152),0)</f>
        <v>142</v>
      </c>
      <c r="J152" s="7">
        <f>IF($B152=2027,ROUND($I152*Ladder!$B$2,0),$I152)</f>
        <v>128</v>
      </c>
    </row>
    <row r="153" spans="1:10" x14ac:dyDescent="0.3">
      <c r="A153" s="5">
        <v>151</v>
      </c>
      <c r="B153" s="5">
        <v>2026</v>
      </c>
      <c r="C153" s="5">
        <v>1</v>
      </c>
      <c r="D153" s="6" t="s">
        <v>26</v>
      </c>
      <c r="E153" s="13" t="s">
        <v>18</v>
      </c>
      <c r="F153" s="5">
        <f>INDEX(Ladder!$B$5:$E$20,MATCH($D153,Ladder!$A$5:$A$20,0),IF($B153=2026,1,3))+($C153-1)*16</f>
        <v>5</v>
      </c>
      <c r="G153" s="5">
        <f>INDEX(Ladder!$B$5:$E$20,MATCH($D153,Ladder!$A$5:$A$20,0),IF($B153=2026,2,4))+($C153-1)*16</f>
        <v>5</v>
      </c>
      <c r="H153" s="5" t="str">
        <f t="shared" si="2"/>
        <v>#5</v>
      </c>
      <c r="I153" s="7">
        <f>ROUND(AVERAGEIFS('Pick Values'!$B$2:$B$81,'Pick Values'!$A$2:$A$81,"&gt;="&amp;$F153,'Pick Values'!$A$2:$A$81,"&lt;="&amp;$G153),0)</f>
        <v>1956</v>
      </c>
      <c r="J153" s="7">
        <f>IF($B153=2027,ROUND($I153*Ladder!$B$2,0),$I153)</f>
        <v>1956</v>
      </c>
    </row>
    <row r="154" spans="1:10" x14ac:dyDescent="0.3">
      <c r="A154" s="5">
        <v>152</v>
      </c>
      <c r="B154" s="5">
        <v>2026</v>
      </c>
      <c r="C154" s="5">
        <v>2</v>
      </c>
      <c r="D154" s="6" t="s">
        <v>26</v>
      </c>
      <c r="E154" s="13" t="s">
        <v>19</v>
      </c>
      <c r="F154" s="5">
        <f>INDEX(Ladder!$B$5:$E$20,MATCH($D154,Ladder!$A$5:$A$20,0),IF($B154=2026,1,3))+($C154-1)*16</f>
        <v>21</v>
      </c>
      <c r="G154" s="5">
        <f>INDEX(Ladder!$B$5:$E$20,MATCH($D154,Ladder!$A$5:$A$20,0),IF($B154=2026,2,4))+($C154-1)*16</f>
        <v>21</v>
      </c>
      <c r="H154" s="5" t="str">
        <f t="shared" si="2"/>
        <v>#21</v>
      </c>
      <c r="I154" s="7">
        <f>ROUND(AVERAGEIFS('Pick Values'!$B$2:$B$81,'Pick Values'!$A$2:$A$81,"&gt;="&amp;$F154,'Pick Values'!$A$2:$A$81,"&lt;="&amp;$G154),0)</f>
        <v>698</v>
      </c>
      <c r="J154" s="7">
        <f>IF($B154=2027,ROUND($I154*Ladder!$B$2,0),$I154)</f>
        <v>698</v>
      </c>
    </row>
    <row r="155" spans="1:10" x14ac:dyDescent="0.3">
      <c r="A155" s="5">
        <v>153</v>
      </c>
      <c r="B155" s="5">
        <v>2026</v>
      </c>
      <c r="C155" s="5">
        <v>3</v>
      </c>
      <c r="D155" s="6" t="s">
        <v>26</v>
      </c>
      <c r="E155" s="13" t="s">
        <v>16</v>
      </c>
      <c r="F155" s="5">
        <f>INDEX(Ladder!$B$5:$E$20,MATCH($D155,Ladder!$A$5:$A$20,0),IF($B155=2026,1,3))+($C155-1)*16</f>
        <v>37</v>
      </c>
      <c r="G155" s="5">
        <f>INDEX(Ladder!$B$5:$E$20,MATCH($D155,Ladder!$A$5:$A$20,0),IF($B155=2026,2,4))+($C155-1)*16</f>
        <v>37</v>
      </c>
      <c r="H155" s="5" t="str">
        <f t="shared" si="2"/>
        <v>#37</v>
      </c>
      <c r="I155" s="7">
        <f>ROUND(AVERAGEIFS('Pick Values'!$B$2:$B$81,'Pick Values'!$A$2:$A$81,"&gt;="&amp;$F155,'Pick Values'!$A$2:$A$81,"&lt;="&amp;$G155),0)</f>
        <v>556</v>
      </c>
      <c r="J155" s="7">
        <f>IF($B155=2027,ROUND($I155*Ladder!$B$2,0),$I155)</f>
        <v>556</v>
      </c>
    </row>
    <row r="156" spans="1:10" x14ac:dyDescent="0.3">
      <c r="A156" s="5">
        <v>154</v>
      </c>
      <c r="B156" s="5">
        <v>2026</v>
      </c>
      <c r="C156" s="5">
        <v>4</v>
      </c>
      <c r="D156" s="6" t="s">
        <v>26</v>
      </c>
      <c r="E156" s="13" t="s">
        <v>11</v>
      </c>
      <c r="F156" s="5">
        <f>INDEX(Ladder!$B$5:$E$20,MATCH($D156,Ladder!$A$5:$A$20,0),IF($B156=2026,1,3))+($C156-1)*16</f>
        <v>53</v>
      </c>
      <c r="G156" s="5">
        <f>INDEX(Ladder!$B$5:$E$20,MATCH($D156,Ladder!$A$5:$A$20,0),IF($B156=2026,2,4))+($C156-1)*16</f>
        <v>53</v>
      </c>
      <c r="H156" s="5" t="str">
        <f t="shared" si="2"/>
        <v>#53</v>
      </c>
      <c r="I156" s="7">
        <f>ROUND(AVERAGEIFS('Pick Values'!$B$2:$B$81,'Pick Values'!$A$2:$A$81,"&gt;="&amp;$F156,'Pick Values'!$A$2:$A$81,"&lt;="&amp;$G156),0)</f>
        <v>357</v>
      </c>
      <c r="J156" s="7">
        <f>IF($B156=2027,ROUND($I156*Ladder!$B$2,0),$I156)</f>
        <v>357</v>
      </c>
    </row>
    <row r="157" spans="1:10" x14ac:dyDescent="0.3">
      <c r="A157" s="5">
        <v>155</v>
      </c>
      <c r="B157" s="5">
        <v>2026</v>
      </c>
      <c r="C157" s="5">
        <v>5</v>
      </c>
      <c r="D157" s="6" t="s">
        <v>26</v>
      </c>
      <c r="E157" s="13" t="s">
        <v>26</v>
      </c>
      <c r="F157" s="5">
        <f>INDEX(Ladder!$B$5:$E$20,MATCH($D157,Ladder!$A$5:$A$20,0),IF($B157=2026,1,3))+($C157-1)*16</f>
        <v>69</v>
      </c>
      <c r="G157" s="5">
        <f>INDEX(Ladder!$B$5:$E$20,MATCH($D157,Ladder!$A$5:$A$20,0),IF($B157=2026,2,4))+($C157-1)*16</f>
        <v>69</v>
      </c>
      <c r="H157" s="5" t="str">
        <f t="shared" si="2"/>
        <v>#69</v>
      </c>
      <c r="I157" s="7">
        <f>ROUND(AVERAGEIFS('Pick Values'!$B$2:$B$81,'Pick Values'!$A$2:$A$81,"&gt;="&amp;$F157,'Pick Values'!$A$2:$A$81,"&lt;="&amp;$G157),0)</f>
        <v>201</v>
      </c>
      <c r="J157" s="7">
        <f>IF($B157=2027,ROUND($I157*Ladder!$B$2,0),$I157)</f>
        <v>201</v>
      </c>
    </row>
    <row r="158" spans="1:10" x14ac:dyDescent="0.3">
      <c r="A158" s="5">
        <v>156</v>
      </c>
      <c r="B158" s="5">
        <v>2027</v>
      </c>
      <c r="C158" s="5">
        <v>1</v>
      </c>
      <c r="D158" s="6" t="s">
        <v>26</v>
      </c>
      <c r="E158" s="13" t="s">
        <v>11</v>
      </c>
      <c r="F158" s="5">
        <f>INDEX(Ladder!$B$5:$E$20,MATCH($D158,Ladder!$A$5:$A$20,0),IF($B158=2026,1,3))+($C158-1)*16</f>
        <v>5</v>
      </c>
      <c r="G158" s="5">
        <f>INDEX(Ladder!$B$5:$E$20,MATCH($D158,Ladder!$A$5:$A$20,0),IF($B158=2026,2,4))+($C158-1)*16</f>
        <v>5</v>
      </c>
      <c r="H158" s="5" t="str">
        <f t="shared" si="2"/>
        <v>#5</v>
      </c>
      <c r="I158" s="7">
        <f>ROUND(AVERAGEIFS('Pick Values'!$B$2:$B$81,'Pick Values'!$A$2:$A$81,"&gt;="&amp;$F158,'Pick Values'!$A$2:$A$81,"&lt;="&amp;$G158),0)</f>
        <v>1956</v>
      </c>
      <c r="J158" s="7">
        <f>IF($B158=2027,ROUND($I158*Ladder!$B$2,0),$I158)</f>
        <v>1760</v>
      </c>
    </row>
    <row r="159" spans="1:10" x14ac:dyDescent="0.3">
      <c r="A159" s="5">
        <v>157</v>
      </c>
      <c r="B159" s="5">
        <v>2027</v>
      </c>
      <c r="C159" s="5">
        <v>2</v>
      </c>
      <c r="D159" s="6" t="s">
        <v>26</v>
      </c>
      <c r="E159" s="13" t="s">
        <v>18</v>
      </c>
      <c r="F159" s="5">
        <f>INDEX(Ladder!$B$5:$E$20,MATCH($D159,Ladder!$A$5:$A$20,0),IF($B159=2026,1,3))+($C159-1)*16</f>
        <v>21</v>
      </c>
      <c r="G159" s="5">
        <f>INDEX(Ladder!$B$5:$E$20,MATCH($D159,Ladder!$A$5:$A$20,0),IF($B159=2026,2,4))+($C159-1)*16</f>
        <v>21</v>
      </c>
      <c r="H159" s="5" t="str">
        <f t="shared" si="2"/>
        <v>#21</v>
      </c>
      <c r="I159" s="7">
        <f>ROUND(AVERAGEIFS('Pick Values'!$B$2:$B$81,'Pick Values'!$A$2:$A$81,"&gt;="&amp;$F159,'Pick Values'!$A$2:$A$81,"&lt;="&amp;$G159),0)</f>
        <v>698</v>
      </c>
      <c r="J159" s="7">
        <f>IF($B159=2027,ROUND($I159*Ladder!$B$2,0),$I159)</f>
        <v>628</v>
      </c>
    </row>
    <row r="160" spans="1:10" x14ac:dyDescent="0.3">
      <c r="A160" s="5">
        <v>158</v>
      </c>
      <c r="B160" s="5">
        <v>2027</v>
      </c>
      <c r="C160" s="5">
        <v>3</v>
      </c>
      <c r="D160" s="6" t="s">
        <v>26</v>
      </c>
      <c r="E160" s="13" t="s">
        <v>26</v>
      </c>
      <c r="F160" s="5">
        <f>INDEX(Ladder!$B$5:$E$20,MATCH($D160,Ladder!$A$5:$A$20,0),IF($B160=2026,1,3))+($C160-1)*16</f>
        <v>37</v>
      </c>
      <c r="G160" s="5">
        <f>INDEX(Ladder!$B$5:$E$20,MATCH($D160,Ladder!$A$5:$A$20,0),IF($B160=2026,2,4))+($C160-1)*16</f>
        <v>37</v>
      </c>
      <c r="H160" s="5" t="str">
        <f t="shared" si="2"/>
        <v>#37</v>
      </c>
      <c r="I160" s="7">
        <f>ROUND(AVERAGEIFS('Pick Values'!$B$2:$B$81,'Pick Values'!$A$2:$A$81,"&gt;="&amp;$F160,'Pick Values'!$A$2:$A$81,"&lt;="&amp;$G160),0)</f>
        <v>556</v>
      </c>
      <c r="J160" s="7">
        <f>IF($B160=2027,ROUND($I160*Ladder!$B$2,0),$I160)</f>
        <v>500</v>
      </c>
    </row>
    <row r="161" spans="1:10" x14ac:dyDescent="0.3">
      <c r="A161" s="5">
        <v>159</v>
      </c>
      <c r="B161" s="5">
        <v>2027</v>
      </c>
      <c r="C161" s="5">
        <v>4</v>
      </c>
      <c r="D161" s="6" t="s">
        <v>26</v>
      </c>
      <c r="E161" s="13" t="s">
        <v>26</v>
      </c>
      <c r="F161" s="5">
        <f>INDEX(Ladder!$B$5:$E$20,MATCH($D161,Ladder!$A$5:$A$20,0),IF($B161=2026,1,3))+($C161-1)*16</f>
        <v>53</v>
      </c>
      <c r="G161" s="5">
        <f>INDEX(Ladder!$B$5:$E$20,MATCH($D161,Ladder!$A$5:$A$20,0),IF($B161=2026,2,4))+($C161-1)*16</f>
        <v>53</v>
      </c>
      <c r="H161" s="5" t="str">
        <f t="shared" si="2"/>
        <v>#53</v>
      </c>
      <c r="I161" s="7">
        <f>ROUND(AVERAGEIFS('Pick Values'!$B$2:$B$81,'Pick Values'!$A$2:$A$81,"&gt;="&amp;$F161,'Pick Values'!$A$2:$A$81,"&lt;="&amp;$G161),0)</f>
        <v>357</v>
      </c>
      <c r="J161" s="7">
        <f>IF($B161=2027,ROUND($I161*Ladder!$B$2,0),$I161)</f>
        <v>321</v>
      </c>
    </row>
    <row r="162" spans="1:10" x14ac:dyDescent="0.3">
      <c r="A162" s="5">
        <v>160</v>
      </c>
      <c r="B162" s="5">
        <v>2027</v>
      </c>
      <c r="C162" s="5">
        <v>5</v>
      </c>
      <c r="D162" s="6" t="s">
        <v>26</v>
      </c>
      <c r="E162" s="13" t="s">
        <v>26</v>
      </c>
      <c r="F162" s="5">
        <f>INDEX(Ladder!$B$5:$E$20,MATCH($D162,Ladder!$A$5:$A$20,0),IF($B162=2026,1,3))+($C162-1)*16</f>
        <v>69</v>
      </c>
      <c r="G162" s="5">
        <f>INDEX(Ladder!$B$5:$E$20,MATCH($D162,Ladder!$A$5:$A$20,0),IF($B162=2026,2,4))+($C162-1)*16</f>
        <v>69</v>
      </c>
      <c r="H162" s="5" t="str">
        <f t="shared" si="2"/>
        <v>#69</v>
      </c>
      <c r="I162" s="7">
        <f>ROUND(AVERAGEIFS('Pick Values'!$B$2:$B$81,'Pick Values'!$A$2:$A$81,"&gt;="&amp;$F162,'Pick Values'!$A$2:$A$81,"&lt;="&amp;$G162),0)</f>
        <v>201</v>
      </c>
      <c r="J162" s="7">
        <f>IF($B162=2027,ROUND($I162*Ladder!$B$2,0),$I162)</f>
        <v>181</v>
      </c>
    </row>
  </sheetData>
  <autoFilter ref="A2:J162" xr:uid="{00000000-0009-0000-0000-000001000000}"/>
  <conditionalFormatting sqref="A3:J162">
    <cfRule type="expression" dxfId="4" priority="1">
      <formula>$E3&lt;&gt;$D3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570BA43A-0E1A-4BF7-841B-ADE9247A8C6C}">
          <x14:formula1>
            <xm:f>Ladder!$A$5:$A$20</xm:f>
          </x14:formula1>
          <x14:formula2>
            <xm:f>0</xm:f>
          </x14:formula2>
          <xm:sqref>D3:D162</xm:sqref>
        </x14:dataValidation>
        <x14:dataValidation type="list" errorTitle="Invalid team" error="Pick a team from the list" xr:uid="{40B4F035-DD63-444C-92D5-BFB472B09214}">
          <x14:formula1>
            <xm:f>Ladder!$A$5:$A$20</xm:f>
          </x14:formula1>
          <x14:formula2>
            <xm:f>0</xm:f>
          </x14:formula2>
          <xm:sqref>E3:E162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FAD6-BB7A-4864-9CC1-C76262367202}">
  <dimension ref="A1:J29"/>
  <sheetViews>
    <sheetView showGridLines="0" zoomScaleNormal="100" workbookViewId="0">
      <pane ySplit="4" topLeftCell="A5" activePane="bottomLeft" state="frozen"/>
      <selection activeCell="B23" sqref="B23"/>
      <selection pane="bottomLeft" activeCell="B23" sqref="B23"/>
    </sheetView>
  </sheetViews>
  <sheetFormatPr defaultColWidth="8.6640625" defaultRowHeight="14.4" x14ac:dyDescent="0.3"/>
  <cols>
    <col min="1" max="1" width="18" customWidth="1"/>
    <col min="2" max="5" width="10" customWidth="1"/>
    <col min="6" max="7" width="3" customWidth="1"/>
    <col min="8" max="8" width="16" customWidth="1"/>
    <col min="9" max="9" width="14" customWidth="1"/>
    <col min="10" max="10" width="16" customWidth="1"/>
  </cols>
  <sheetData>
    <row r="1" spans="1:10" ht="17.399999999999999" x14ac:dyDescent="0.3">
      <c r="A1" s="1" t="s">
        <v>46</v>
      </c>
    </row>
    <row r="2" spans="1:10" x14ac:dyDescent="0.3">
      <c r="A2" s="3" t="s">
        <v>47</v>
      </c>
      <c r="B2" s="14">
        <v>0.9</v>
      </c>
      <c r="C2" s="2" t="s">
        <v>48</v>
      </c>
    </row>
    <row r="3" spans="1:10" x14ac:dyDescent="0.3">
      <c r="A3" s="2" t="s">
        <v>49</v>
      </c>
    </row>
    <row r="4" spans="1:10" x14ac:dyDescent="0.3">
      <c r="A4" s="4" t="s">
        <v>4</v>
      </c>
      <c r="B4" s="4" t="s">
        <v>50</v>
      </c>
      <c r="C4" s="4" t="s">
        <v>51</v>
      </c>
      <c r="D4" s="4" t="s">
        <v>52</v>
      </c>
      <c r="E4" s="4" t="s">
        <v>53</v>
      </c>
      <c r="H4" s="15" t="s">
        <v>54</v>
      </c>
      <c r="I4" s="15"/>
      <c r="J4" s="15"/>
    </row>
    <row r="5" spans="1:10" x14ac:dyDescent="0.3">
      <c r="A5" s="6" t="s">
        <v>11</v>
      </c>
      <c r="B5" s="16">
        <v>9</v>
      </c>
      <c r="C5" s="16">
        <v>11</v>
      </c>
      <c r="D5" s="16">
        <v>9</v>
      </c>
      <c r="E5" s="16">
        <v>11</v>
      </c>
      <c r="H5" s="4" t="s">
        <v>55</v>
      </c>
      <c r="I5" s="4" t="s">
        <v>9</v>
      </c>
      <c r="J5" s="4" t="s">
        <v>10</v>
      </c>
    </row>
    <row r="6" spans="1:10" x14ac:dyDescent="0.3">
      <c r="A6" s="6" t="s">
        <v>12</v>
      </c>
      <c r="B6" s="16">
        <v>9</v>
      </c>
      <c r="C6" s="16">
        <v>11</v>
      </c>
      <c r="D6" s="16">
        <v>9</v>
      </c>
      <c r="E6" s="16">
        <v>11</v>
      </c>
      <c r="H6" s="5">
        <v>1</v>
      </c>
      <c r="I6" s="17">
        <f t="shared" ref="I6:I21" si="0">SUMPRODUCT(($B$5:$B$20&lt;=$H6)*($C$5:$C$20&gt;=$H6)/($C$5:$C$20-$B$5:$B$20+1))</f>
        <v>1</v>
      </c>
      <c r="J6" s="17">
        <f t="shared" ref="J6:J21" si="1">SUMPRODUCT(($D$5:$D$20&lt;=$H6)*($E$5:$E$20&gt;=$H6)/($E$5:$E$20-$D$5:$D$20+1))</f>
        <v>1</v>
      </c>
    </row>
    <row r="7" spans="1:10" x14ac:dyDescent="0.3">
      <c r="A7" s="6" t="s">
        <v>13</v>
      </c>
      <c r="B7" s="16">
        <v>8</v>
      </c>
      <c r="C7" s="16">
        <v>8</v>
      </c>
      <c r="D7" s="16">
        <v>8</v>
      </c>
      <c r="E7" s="16">
        <v>8</v>
      </c>
      <c r="H7" s="5">
        <v>2</v>
      </c>
      <c r="I7" s="17">
        <f t="shared" si="0"/>
        <v>1</v>
      </c>
      <c r="J7" s="17">
        <f t="shared" si="1"/>
        <v>1</v>
      </c>
    </row>
    <row r="8" spans="1:10" x14ac:dyDescent="0.3">
      <c r="A8" s="6" t="s">
        <v>14</v>
      </c>
      <c r="B8" s="16">
        <v>6</v>
      </c>
      <c r="C8" s="16">
        <v>7</v>
      </c>
      <c r="D8" s="16">
        <v>6</v>
      </c>
      <c r="E8" s="16">
        <v>7</v>
      </c>
      <c r="H8" s="5">
        <v>3</v>
      </c>
      <c r="I8" s="17">
        <f t="shared" si="0"/>
        <v>1</v>
      </c>
      <c r="J8" s="17">
        <f t="shared" si="1"/>
        <v>1</v>
      </c>
    </row>
    <row r="9" spans="1:10" x14ac:dyDescent="0.3">
      <c r="A9" s="6" t="s">
        <v>15</v>
      </c>
      <c r="B9" s="16">
        <v>3</v>
      </c>
      <c r="C9" s="16">
        <v>4</v>
      </c>
      <c r="D9" s="16">
        <v>3</v>
      </c>
      <c r="E9" s="16">
        <v>4</v>
      </c>
      <c r="H9" s="5">
        <v>4</v>
      </c>
      <c r="I9" s="17">
        <f t="shared" si="0"/>
        <v>1</v>
      </c>
      <c r="J9" s="17">
        <f t="shared" si="1"/>
        <v>1</v>
      </c>
    </row>
    <row r="10" spans="1:10" x14ac:dyDescent="0.3">
      <c r="A10" s="6" t="s">
        <v>16</v>
      </c>
      <c r="B10" s="16">
        <v>2</v>
      </c>
      <c r="C10" s="16">
        <v>2</v>
      </c>
      <c r="D10" s="16">
        <v>2</v>
      </c>
      <c r="E10" s="16">
        <v>2</v>
      </c>
      <c r="H10" s="5">
        <v>5</v>
      </c>
      <c r="I10" s="17">
        <f t="shared" si="0"/>
        <v>1</v>
      </c>
      <c r="J10" s="17">
        <f t="shared" si="1"/>
        <v>1</v>
      </c>
    </row>
    <row r="11" spans="1:10" x14ac:dyDescent="0.3">
      <c r="A11" s="6" t="s">
        <v>17</v>
      </c>
      <c r="B11" s="16">
        <v>12</v>
      </c>
      <c r="C11" s="16">
        <v>14</v>
      </c>
      <c r="D11" s="16">
        <v>12</v>
      </c>
      <c r="E11" s="16">
        <v>14</v>
      </c>
      <c r="H11" s="5">
        <v>6</v>
      </c>
      <c r="I11" s="17">
        <f t="shared" si="0"/>
        <v>1</v>
      </c>
      <c r="J11" s="17">
        <f t="shared" si="1"/>
        <v>1</v>
      </c>
    </row>
    <row r="12" spans="1:10" x14ac:dyDescent="0.3">
      <c r="A12" s="6" t="s">
        <v>18</v>
      </c>
      <c r="B12" s="16">
        <v>1</v>
      </c>
      <c r="C12" s="16">
        <v>1</v>
      </c>
      <c r="D12" s="16">
        <v>1</v>
      </c>
      <c r="E12" s="16">
        <v>1</v>
      </c>
      <c r="H12" s="5">
        <v>7</v>
      </c>
      <c r="I12" s="17">
        <f t="shared" si="0"/>
        <v>1</v>
      </c>
      <c r="J12" s="17">
        <f t="shared" si="1"/>
        <v>1</v>
      </c>
    </row>
    <row r="13" spans="1:10" x14ac:dyDescent="0.3">
      <c r="A13" s="6" t="s">
        <v>19</v>
      </c>
      <c r="B13" s="16">
        <v>3</v>
      </c>
      <c r="C13" s="16">
        <v>4</v>
      </c>
      <c r="D13" s="16">
        <v>3</v>
      </c>
      <c r="E13" s="16">
        <v>4</v>
      </c>
      <c r="H13" s="5">
        <v>8</v>
      </c>
      <c r="I13" s="17">
        <f t="shared" si="0"/>
        <v>1</v>
      </c>
      <c r="J13" s="17">
        <f t="shared" si="1"/>
        <v>1</v>
      </c>
    </row>
    <row r="14" spans="1:10" x14ac:dyDescent="0.3">
      <c r="A14" s="6" t="s">
        <v>20</v>
      </c>
      <c r="B14" s="16">
        <v>15</v>
      </c>
      <c r="C14" s="16">
        <v>16</v>
      </c>
      <c r="D14" s="16">
        <v>15</v>
      </c>
      <c r="E14" s="16">
        <v>16</v>
      </c>
      <c r="H14" s="5">
        <v>9</v>
      </c>
      <c r="I14" s="17">
        <f t="shared" si="0"/>
        <v>1</v>
      </c>
      <c r="J14" s="17">
        <f t="shared" si="1"/>
        <v>1</v>
      </c>
    </row>
    <row r="15" spans="1:10" x14ac:dyDescent="0.3">
      <c r="A15" s="6" t="s">
        <v>21</v>
      </c>
      <c r="B15" s="16">
        <v>9</v>
      </c>
      <c r="C15" s="16">
        <v>11</v>
      </c>
      <c r="D15" s="16">
        <v>9</v>
      </c>
      <c r="E15" s="16">
        <v>11</v>
      </c>
      <c r="H15" s="5">
        <v>10</v>
      </c>
      <c r="I15" s="17">
        <f t="shared" si="0"/>
        <v>1</v>
      </c>
      <c r="J15" s="17">
        <f t="shared" si="1"/>
        <v>1</v>
      </c>
    </row>
    <row r="16" spans="1:10" x14ac:dyDescent="0.3">
      <c r="A16" s="6" t="s">
        <v>22</v>
      </c>
      <c r="B16" s="16">
        <v>6</v>
      </c>
      <c r="C16" s="16">
        <v>7</v>
      </c>
      <c r="D16" s="16">
        <v>6</v>
      </c>
      <c r="E16" s="16">
        <v>7</v>
      </c>
      <c r="H16" s="5">
        <v>11</v>
      </c>
      <c r="I16" s="17">
        <f t="shared" si="0"/>
        <v>1</v>
      </c>
      <c r="J16" s="17">
        <f t="shared" si="1"/>
        <v>1</v>
      </c>
    </row>
    <row r="17" spans="1:10" x14ac:dyDescent="0.3">
      <c r="A17" s="6" t="s">
        <v>23</v>
      </c>
      <c r="B17" s="16">
        <v>12</v>
      </c>
      <c r="C17" s="16">
        <v>14</v>
      </c>
      <c r="D17" s="16">
        <v>12</v>
      </c>
      <c r="E17" s="16">
        <v>14</v>
      </c>
      <c r="H17" s="5">
        <v>12</v>
      </c>
      <c r="I17" s="17">
        <f t="shared" si="0"/>
        <v>1</v>
      </c>
      <c r="J17" s="17">
        <f t="shared" si="1"/>
        <v>1</v>
      </c>
    </row>
    <row r="18" spans="1:10" x14ac:dyDescent="0.3">
      <c r="A18" s="6" t="s">
        <v>24</v>
      </c>
      <c r="B18" s="16">
        <v>12</v>
      </c>
      <c r="C18" s="16">
        <v>14</v>
      </c>
      <c r="D18" s="16">
        <v>12</v>
      </c>
      <c r="E18" s="16">
        <v>14</v>
      </c>
      <c r="H18" s="5">
        <v>13</v>
      </c>
      <c r="I18" s="17">
        <f t="shared" si="0"/>
        <v>1</v>
      </c>
      <c r="J18" s="17">
        <f t="shared" si="1"/>
        <v>1</v>
      </c>
    </row>
    <row r="19" spans="1:10" x14ac:dyDescent="0.3">
      <c r="A19" s="6" t="s">
        <v>25</v>
      </c>
      <c r="B19" s="16">
        <v>15</v>
      </c>
      <c r="C19" s="16">
        <v>16</v>
      </c>
      <c r="D19" s="16">
        <v>15</v>
      </c>
      <c r="E19" s="16">
        <v>16</v>
      </c>
      <c r="H19" s="5">
        <v>14</v>
      </c>
      <c r="I19" s="17">
        <f t="shared" si="0"/>
        <v>1</v>
      </c>
      <c r="J19" s="17">
        <f t="shared" si="1"/>
        <v>1</v>
      </c>
    </row>
    <row r="20" spans="1:10" x14ac:dyDescent="0.3">
      <c r="A20" s="6" t="s">
        <v>26</v>
      </c>
      <c r="B20" s="16">
        <v>5</v>
      </c>
      <c r="C20" s="16">
        <v>5</v>
      </c>
      <c r="D20" s="16">
        <v>5</v>
      </c>
      <c r="E20" s="16">
        <v>5</v>
      </c>
      <c r="H20" s="5">
        <v>15</v>
      </c>
      <c r="I20" s="17">
        <f t="shared" si="0"/>
        <v>1</v>
      </c>
      <c r="J20" s="17">
        <f t="shared" si="1"/>
        <v>1</v>
      </c>
    </row>
    <row r="21" spans="1:10" x14ac:dyDescent="0.3">
      <c r="H21" s="5">
        <v>16</v>
      </c>
      <c r="I21" s="17">
        <f t="shared" si="0"/>
        <v>1</v>
      </c>
      <c r="J21" s="17">
        <f t="shared" si="1"/>
        <v>1</v>
      </c>
    </row>
    <row r="23" spans="1:10" x14ac:dyDescent="0.3">
      <c r="H23" s="3" t="s">
        <v>56</v>
      </c>
      <c r="I23" s="18" t="str">
        <f>IF(SUMPRODUCT(--(ROUND($I$6:$I$21,6)&lt;&gt;1))=0,"VALID - value conserved","CHECK - ranges distort value")</f>
        <v>VALID - value conserved</v>
      </c>
      <c r="J23" s="18"/>
    </row>
    <row r="24" spans="1:10" x14ac:dyDescent="0.3">
      <c r="H24" s="3" t="s">
        <v>57</v>
      </c>
      <c r="I24" s="18" t="str">
        <f>IF(SUMPRODUCT(--(ROUND($J$6:$J$21,6)&lt;&gt;1))=0,"VALID - value conserved","CHECK - ranges distort value")</f>
        <v>VALID - value conserved</v>
      </c>
      <c r="J24" s="18"/>
    </row>
    <row r="26" spans="1:10" x14ac:dyDescent="0.3">
      <c r="H26" s="2" t="s">
        <v>58</v>
      </c>
    </row>
    <row r="27" spans="1:10" x14ac:dyDescent="0.3">
      <c r="H27" s="2" t="s">
        <v>59</v>
      </c>
    </row>
    <row r="29" spans="1:10" x14ac:dyDescent="0.3">
      <c r="H29" s="3" t="s">
        <v>60</v>
      </c>
      <c r="J29" s="19">
        <f>SUM('Pick Values'!$B$2:$B$81)</f>
        <v>54333</v>
      </c>
    </row>
  </sheetData>
  <mergeCells count="3">
    <mergeCell ref="H4:J4"/>
    <mergeCell ref="I23:J23"/>
    <mergeCell ref="I24:J24"/>
  </mergeCells>
  <conditionalFormatting sqref="I23:I24">
    <cfRule type="expression" dxfId="3" priority="3">
      <formula>ISNUMBER(SEARCH("VALID",I23))</formula>
    </cfRule>
    <cfRule type="expression" dxfId="2" priority="4">
      <formula>ISNUMBER(SEARCH("CHECK",I23))</formula>
    </cfRule>
  </conditionalFormatting>
  <conditionalFormatting sqref="I6:J21">
    <cfRule type="cellIs" dxfId="1" priority="1" operator="notEqual">
      <formula>1</formula>
    </cfRule>
    <cfRule type="cellIs" dxfId="0" priority="2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1AB65-FFCA-4862-972E-1294129D9E7B}">
  <dimension ref="A1:D81"/>
  <sheetViews>
    <sheetView showGridLines="0" zoomScaleNormal="100" workbookViewId="0">
      <pane ySplit="1" topLeftCell="A2" activePane="bottomLeft" state="frozen"/>
      <selection activeCell="B23" sqref="B23"/>
      <selection pane="bottomLeft" activeCell="B23" sqref="B23"/>
    </sheetView>
  </sheetViews>
  <sheetFormatPr defaultColWidth="8.6640625" defaultRowHeight="14.4" x14ac:dyDescent="0.3"/>
  <cols>
    <col min="1" max="1" width="7" customWidth="1"/>
    <col min="2" max="2" width="9" customWidth="1"/>
  </cols>
  <sheetData>
    <row r="1" spans="1:4" x14ac:dyDescent="0.3">
      <c r="A1" s="4" t="s">
        <v>61</v>
      </c>
      <c r="B1" s="4" t="s">
        <v>62</v>
      </c>
      <c r="D1" s="2" t="s">
        <v>63</v>
      </c>
    </row>
    <row r="2" spans="1:4" x14ac:dyDescent="0.3">
      <c r="A2" s="5">
        <v>1</v>
      </c>
      <c r="B2" s="20">
        <v>3000</v>
      </c>
      <c r="D2" s="2" t="s">
        <v>64</v>
      </c>
    </row>
    <row r="3" spans="1:4" x14ac:dyDescent="0.3">
      <c r="A3" s="5">
        <v>2</v>
      </c>
      <c r="B3" s="20">
        <v>2495</v>
      </c>
    </row>
    <row r="4" spans="1:4" x14ac:dyDescent="0.3">
      <c r="A4" s="5">
        <v>3</v>
      </c>
      <c r="B4" s="20">
        <v>2241</v>
      </c>
    </row>
    <row r="5" spans="1:4" x14ac:dyDescent="0.3">
      <c r="A5" s="5">
        <v>4</v>
      </c>
      <c r="B5" s="20">
        <v>2076</v>
      </c>
    </row>
    <row r="6" spans="1:4" x14ac:dyDescent="0.3">
      <c r="A6" s="5">
        <v>5</v>
      </c>
      <c r="B6" s="20">
        <v>1956</v>
      </c>
    </row>
    <row r="7" spans="1:4" x14ac:dyDescent="0.3">
      <c r="A7" s="5">
        <v>6</v>
      </c>
      <c r="B7" s="20">
        <v>1864</v>
      </c>
    </row>
    <row r="8" spans="1:4" x14ac:dyDescent="0.3">
      <c r="A8" s="5">
        <v>7</v>
      </c>
      <c r="B8" s="20">
        <v>1784</v>
      </c>
    </row>
    <row r="9" spans="1:4" x14ac:dyDescent="0.3">
      <c r="A9" s="5">
        <v>8</v>
      </c>
      <c r="B9" s="20">
        <v>1694</v>
      </c>
    </row>
    <row r="10" spans="1:4" x14ac:dyDescent="0.3">
      <c r="A10" s="5">
        <v>9</v>
      </c>
      <c r="B10" s="20">
        <v>1593</v>
      </c>
    </row>
    <row r="11" spans="1:4" x14ac:dyDescent="0.3">
      <c r="A11" s="5">
        <v>10</v>
      </c>
      <c r="B11" s="20">
        <v>1482</v>
      </c>
    </row>
    <row r="12" spans="1:4" x14ac:dyDescent="0.3">
      <c r="A12" s="5">
        <v>11</v>
      </c>
      <c r="B12" s="20">
        <v>1374</v>
      </c>
    </row>
    <row r="13" spans="1:4" x14ac:dyDescent="0.3">
      <c r="A13" s="5">
        <v>12</v>
      </c>
      <c r="B13" s="20">
        <v>1266</v>
      </c>
    </row>
    <row r="14" spans="1:4" x14ac:dyDescent="0.3">
      <c r="A14" s="5">
        <v>13</v>
      </c>
      <c r="B14" s="20">
        <v>1202</v>
      </c>
    </row>
    <row r="15" spans="1:4" x14ac:dyDescent="0.3">
      <c r="A15" s="5">
        <v>14</v>
      </c>
      <c r="B15" s="20">
        <v>1141</v>
      </c>
    </row>
    <row r="16" spans="1:4" x14ac:dyDescent="0.3">
      <c r="A16" s="5">
        <v>15</v>
      </c>
      <c r="B16" s="20">
        <v>1080</v>
      </c>
    </row>
    <row r="17" spans="1:2" x14ac:dyDescent="0.3">
      <c r="A17" s="5">
        <v>16</v>
      </c>
      <c r="B17" s="20">
        <v>1011</v>
      </c>
    </row>
    <row r="18" spans="1:2" x14ac:dyDescent="0.3">
      <c r="A18" s="5">
        <v>17</v>
      </c>
      <c r="B18" s="20">
        <v>939</v>
      </c>
    </row>
    <row r="19" spans="1:2" x14ac:dyDescent="0.3">
      <c r="A19" s="5">
        <v>18</v>
      </c>
      <c r="B19" s="20">
        <v>871</v>
      </c>
    </row>
    <row r="20" spans="1:2" x14ac:dyDescent="0.3">
      <c r="A20" s="5">
        <v>19</v>
      </c>
      <c r="B20" s="20">
        <v>807</v>
      </c>
    </row>
    <row r="21" spans="1:2" x14ac:dyDescent="0.3">
      <c r="A21" s="5">
        <v>20</v>
      </c>
      <c r="B21" s="20">
        <v>748</v>
      </c>
    </row>
    <row r="22" spans="1:2" x14ac:dyDescent="0.3">
      <c r="A22" s="5">
        <v>21</v>
      </c>
      <c r="B22" s="20">
        <v>698</v>
      </c>
    </row>
    <row r="23" spans="1:2" x14ac:dyDescent="0.3">
      <c r="A23" s="5">
        <v>22</v>
      </c>
      <c r="B23" s="20">
        <v>658</v>
      </c>
    </row>
    <row r="24" spans="1:2" x14ac:dyDescent="0.3">
      <c r="A24" s="5">
        <v>23</v>
      </c>
      <c r="B24" s="20">
        <v>628</v>
      </c>
    </row>
    <row r="25" spans="1:2" x14ac:dyDescent="0.3">
      <c r="A25" s="5">
        <v>24</v>
      </c>
      <c r="B25" s="20">
        <v>627</v>
      </c>
    </row>
    <row r="26" spans="1:2" x14ac:dyDescent="0.3">
      <c r="A26" s="5">
        <v>25</v>
      </c>
      <c r="B26" s="20">
        <v>625</v>
      </c>
    </row>
    <row r="27" spans="1:2" x14ac:dyDescent="0.3">
      <c r="A27" s="5">
        <v>26</v>
      </c>
      <c r="B27" s="20">
        <v>624</v>
      </c>
    </row>
    <row r="28" spans="1:2" x14ac:dyDescent="0.3">
      <c r="A28" s="5">
        <v>27</v>
      </c>
      <c r="B28" s="20">
        <v>622</v>
      </c>
    </row>
    <row r="29" spans="1:2" x14ac:dyDescent="0.3">
      <c r="A29" s="5">
        <v>28</v>
      </c>
      <c r="B29" s="20">
        <v>621</v>
      </c>
    </row>
    <row r="30" spans="1:2" x14ac:dyDescent="0.3">
      <c r="A30" s="5">
        <v>29</v>
      </c>
      <c r="B30" s="20">
        <v>619</v>
      </c>
    </row>
    <row r="31" spans="1:2" x14ac:dyDescent="0.3">
      <c r="A31" s="5">
        <v>30</v>
      </c>
      <c r="B31" s="20">
        <v>618</v>
      </c>
    </row>
    <row r="32" spans="1:2" x14ac:dyDescent="0.3">
      <c r="A32" s="5">
        <v>31</v>
      </c>
      <c r="B32" s="20">
        <v>616</v>
      </c>
    </row>
    <row r="33" spans="1:2" x14ac:dyDescent="0.3">
      <c r="A33" s="5">
        <v>32</v>
      </c>
      <c r="B33" s="20">
        <v>615</v>
      </c>
    </row>
    <row r="34" spans="1:2" x14ac:dyDescent="0.3">
      <c r="A34" s="5">
        <v>33</v>
      </c>
      <c r="B34" s="20">
        <v>602</v>
      </c>
    </row>
    <row r="35" spans="1:2" x14ac:dyDescent="0.3">
      <c r="A35" s="5">
        <v>34</v>
      </c>
      <c r="B35" s="20">
        <v>589</v>
      </c>
    </row>
    <row r="36" spans="1:2" x14ac:dyDescent="0.3">
      <c r="A36" s="5">
        <v>35</v>
      </c>
      <c r="B36" s="20">
        <v>576</v>
      </c>
    </row>
    <row r="37" spans="1:2" x14ac:dyDescent="0.3">
      <c r="A37" s="5">
        <v>36</v>
      </c>
      <c r="B37" s="20">
        <v>564</v>
      </c>
    </row>
    <row r="38" spans="1:2" x14ac:dyDescent="0.3">
      <c r="A38" s="5">
        <v>37</v>
      </c>
      <c r="B38" s="20">
        <v>556</v>
      </c>
    </row>
    <row r="39" spans="1:2" x14ac:dyDescent="0.3">
      <c r="A39" s="5">
        <v>38</v>
      </c>
      <c r="B39" s="20">
        <v>545</v>
      </c>
    </row>
    <row r="40" spans="1:2" x14ac:dyDescent="0.3">
      <c r="A40" s="5">
        <v>39</v>
      </c>
      <c r="B40" s="20">
        <v>535</v>
      </c>
    </row>
    <row r="41" spans="1:2" x14ac:dyDescent="0.3">
      <c r="A41" s="5">
        <v>40</v>
      </c>
      <c r="B41" s="20">
        <v>525</v>
      </c>
    </row>
    <row r="42" spans="1:2" x14ac:dyDescent="0.3">
      <c r="A42" s="5">
        <v>41</v>
      </c>
      <c r="B42" s="20">
        <v>514</v>
      </c>
    </row>
    <row r="43" spans="1:2" x14ac:dyDescent="0.3">
      <c r="A43" s="5">
        <v>42</v>
      </c>
      <c r="B43" s="20">
        <v>501</v>
      </c>
    </row>
    <row r="44" spans="1:2" x14ac:dyDescent="0.3">
      <c r="A44" s="5">
        <v>43</v>
      </c>
      <c r="B44" s="20">
        <v>486</v>
      </c>
    </row>
    <row r="45" spans="1:2" x14ac:dyDescent="0.3">
      <c r="A45" s="5">
        <v>44</v>
      </c>
      <c r="B45" s="20">
        <v>469</v>
      </c>
    </row>
    <row r="46" spans="1:2" x14ac:dyDescent="0.3">
      <c r="A46" s="5">
        <v>45</v>
      </c>
      <c r="B46" s="20">
        <v>452</v>
      </c>
    </row>
    <row r="47" spans="1:2" x14ac:dyDescent="0.3">
      <c r="A47" s="5">
        <v>46</v>
      </c>
      <c r="B47" s="20">
        <v>438</v>
      </c>
    </row>
    <row r="48" spans="1:2" x14ac:dyDescent="0.3">
      <c r="A48" s="5">
        <v>47</v>
      </c>
      <c r="B48" s="20">
        <v>424</v>
      </c>
    </row>
    <row r="49" spans="1:2" x14ac:dyDescent="0.3">
      <c r="A49" s="5">
        <v>48</v>
      </c>
      <c r="B49" s="20">
        <v>411</v>
      </c>
    </row>
    <row r="50" spans="1:2" x14ac:dyDescent="0.3">
      <c r="A50" s="5">
        <v>49</v>
      </c>
      <c r="B50" s="20">
        <v>399</v>
      </c>
    </row>
    <row r="51" spans="1:2" x14ac:dyDescent="0.3">
      <c r="A51" s="5">
        <v>50</v>
      </c>
      <c r="B51" s="20">
        <v>388</v>
      </c>
    </row>
    <row r="52" spans="1:2" x14ac:dyDescent="0.3">
      <c r="A52" s="5">
        <v>51</v>
      </c>
      <c r="B52" s="20">
        <v>378</v>
      </c>
    </row>
    <row r="53" spans="1:2" x14ac:dyDescent="0.3">
      <c r="A53" s="5">
        <v>52</v>
      </c>
      <c r="B53" s="20">
        <v>367</v>
      </c>
    </row>
    <row r="54" spans="1:2" x14ac:dyDescent="0.3">
      <c r="A54" s="5">
        <v>53</v>
      </c>
      <c r="B54" s="20">
        <v>357</v>
      </c>
    </row>
    <row r="55" spans="1:2" x14ac:dyDescent="0.3">
      <c r="A55" s="5">
        <v>54</v>
      </c>
      <c r="B55" s="20">
        <v>346</v>
      </c>
    </row>
    <row r="56" spans="1:2" x14ac:dyDescent="0.3">
      <c r="A56" s="5">
        <v>55</v>
      </c>
      <c r="B56" s="20">
        <v>333</v>
      </c>
    </row>
    <row r="57" spans="1:2" x14ac:dyDescent="0.3">
      <c r="A57" s="5">
        <v>56</v>
      </c>
      <c r="B57" s="20">
        <v>320</v>
      </c>
    </row>
    <row r="58" spans="1:2" x14ac:dyDescent="0.3">
      <c r="A58" s="5">
        <v>57</v>
      </c>
      <c r="B58" s="20">
        <v>306</v>
      </c>
    </row>
    <row r="59" spans="1:2" x14ac:dyDescent="0.3">
      <c r="A59" s="5">
        <v>58</v>
      </c>
      <c r="B59" s="20">
        <v>296</v>
      </c>
    </row>
    <row r="60" spans="1:2" x14ac:dyDescent="0.3">
      <c r="A60" s="5">
        <v>59</v>
      </c>
      <c r="B60" s="20">
        <v>286</v>
      </c>
    </row>
    <row r="61" spans="1:2" x14ac:dyDescent="0.3">
      <c r="A61" s="5">
        <v>60</v>
      </c>
      <c r="B61" s="20">
        <v>276</v>
      </c>
    </row>
    <row r="62" spans="1:2" x14ac:dyDescent="0.3">
      <c r="A62" s="5">
        <v>61</v>
      </c>
      <c r="B62" s="20">
        <v>267</v>
      </c>
    </row>
    <row r="63" spans="1:2" x14ac:dyDescent="0.3">
      <c r="A63" s="5">
        <v>62</v>
      </c>
      <c r="B63" s="20">
        <v>258</v>
      </c>
    </row>
    <row r="64" spans="1:2" x14ac:dyDescent="0.3">
      <c r="A64" s="5">
        <v>63</v>
      </c>
      <c r="B64" s="20">
        <v>249</v>
      </c>
    </row>
    <row r="65" spans="1:2" x14ac:dyDescent="0.3">
      <c r="A65" s="5">
        <v>64</v>
      </c>
      <c r="B65" s="20">
        <v>241</v>
      </c>
    </row>
    <row r="66" spans="1:2" x14ac:dyDescent="0.3">
      <c r="A66" s="5">
        <v>65</v>
      </c>
      <c r="B66" s="20">
        <v>233</v>
      </c>
    </row>
    <row r="67" spans="1:2" x14ac:dyDescent="0.3">
      <c r="A67" s="5">
        <v>66</v>
      </c>
      <c r="B67" s="20">
        <v>225</v>
      </c>
    </row>
    <row r="68" spans="1:2" x14ac:dyDescent="0.3">
      <c r="A68" s="5">
        <v>67</v>
      </c>
      <c r="B68" s="20">
        <v>217</v>
      </c>
    </row>
    <row r="69" spans="1:2" x14ac:dyDescent="0.3">
      <c r="A69" s="5">
        <v>68</v>
      </c>
      <c r="B69" s="20">
        <v>209</v>
      </c>
    </row>
    <row r="70" spans="1:2" x14ac:dyDescent="0.3">
      <c r="A70" s="5">
        <v>69</v>
      </c>
      <c r="B70" s="20">
        <v>201</v>
      </c>
    </row>
    <row r="71" spans="1:2" x14ac:dyDescent="0.3">
      <c r="A71" s="5">
        <v>70</v>
      </c>
      <c r="B71" s="20">
        <v>194</v>
      </c>
    </row>
    <row r="72" spans="1:2" x14ac:dyDescent="0.3">
      <c r="A72" s="5">
        <v>71</v>
      </c>
      <c r="B72" s="20">
        <v>187</v>
      </c>
    </row>
    <row r="73" spans="1:2" x14ac:dyDescent="0.3">
      <c r="A73" s="5">
        <v>72</v>
      </c>
      <c r="B73" s="20">
        <v>180</v>
      </c>
    </row>
    <row r="74" spans="1:2" x14ac:dyDescent="0.3">
      <c r="A74" s="5">
        <v>73</v>
      </c>
      <c r="B74" s="20">
        <v>173</v>
      </c>
    </row>
    <row r="75" spans="1:2" x14ac:dyDescent="0.3">
      <c r="A75" s="5">
        <v>74</v>
      </c>
      <c r="B75" s="20">
        <v>167</v>
      </c>
    </row>
    <row r="76" spans="1:2" x14ac:dyDescent="0.3">
      <c r="A76" s="5">
        <v>75</v>
      </c>
      <c r="B76" s="20">
        <v>161</v>
      </c>
    </row>
    <row r="77" spans="1:2" x14ac:dyDescent="0.3">
      <c r="A77" s="5">
        <v>76</v>
      </c>
      <c r="B77" s="20">
        <v>156</v>
      </c>
    </row>
    <row r="78" spans="1:2" x14ac:dyDescent="0.3">
      <c r="A78" s="5">
        <v>77</v>
      </c>
      <c r="B78" s="20">
        <v>151</v>
      </c>
    </row>
    <row r="79" spans="1:2" x14ac:dyDescent="0.3">
      <c r="A79" s="5">
        <v>78</v>
      </c>
      <c r="B79" s="20">
        <v>147</v>
      </c>
    </row>
    <row r="80" spans="1:2" x14ac:dyDescent="0.3">
      <c r="A80" s="5">
        <v>79</v>
      </c>
      <c r="B80" s="20">
        <v>143</v>
      </c>
    </row>
    <row r="81" spans="1:2" x14ac:dyDescent="0.3">
      <c r="A81" s="5">
        <v>80</v>
      </c>
      <c r="B81" s="20">
        <v>140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Picks</vt:lpstr>
      <vt:lpstr>Ladder</vt:lpstr>
      <vt:lpstr>Pick 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McAlister - Zing International</dc:creator>
  <cp:lastModifiedBy>Luke McAlister - Zing International</cp:lastModifiedBy>
  <dcterms:created xsi:type="dcterms:W3CDTF">2026-07-16T00:19:26Z</dcterms:created>
  <dcterms:modified xsi:type="dcterms:W3CDTF">2026-07-16T00:19:54Z</dcterms:modified>
</cp:coreProperties>
</file>