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eMcalister-ZingIn\Downloads\"/>
    </mc:Choice>
  </mc:AlternateContent>
  <xr:revisionPtr revIDLastSave="0" documentId="13_ncr:1_{4DA8D275-4C54-4E04-ABB7-262EFC51CBF9}" xr6:coauthVersionLast="47" xr6:coauthVersionMax="47" xr10:uidLastSave="{00000000-0000-0000-0000-000000000000}"/>
  <bookViews>
    <workbookView xWindow="11976" yWindow="0" windowWidth="10716" windowHeight="12336" tabRatio="500" firstSheet="2" activeTab="3" xr2:uid="{00000000-000D-0000-FFFF-FFFF00000000}"/>
  </bookViews>
  <sheets>
    <sheet name="Dashboard" sheetId="1" r:id="rId1"/>
    <sheet name="Picks" sheetId="2" r:id="rId2"/>
    <sheet name="Ladder" sheetId="3" r:id="rId3"/>
    <sheet name="Pick Values" sheetId="4" r:id="rId4"/>
  </sheets>
  <definedNames>
    <definedName name="_xlnm._FilterDatabase" localSheetId="1" hidden="1">Picks!$A$2:$J$242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1" i="3" l="1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J26" i="3" s="1"/>
  <c r="B3" i="1" s="1"/>
  <c r="K7" i="3"/>
  <c r="J25" i="3" s="1"/>
  <c r="J7" i="3"/>
  <c r="J24" i="3" s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G242" i="2"/>
  <c r="H242" i="2" s="1"/>
  <c r="F242" i="2"/>
  <c r="I242" i="2" s="1"/>
  <c r="J242" i="2" s="1"/>
  <c r="I241" i="2"/>
  <c r="J241" i="2" s="1"/>
  <c r="G241" i="2"/>
  <c r="F241" i="2"/>
  <c r="H241" i="2" s="1"/>
  <c r="H240" i="2"/>
  <c r="G240" i="2"/>
  <c r="F240" i="2"/>
  <c r="I240" i="2" s="1"/>
  <c r="J240" i="2" s="1"/>
  <c r="G239" i="2"/>
  <c r="H239" i="2" s="1"/>
  <c r="F239" i="2"/>
  <c r="I238" i="2"/>
  <c r="J238" i="2" s="1"/>
  <c r="H238" i="2"/>
  <c r="G238" i="2"/>
  <c r="F238" i="2"/>
  <c r="G237" i="2"/>
  <c r="F237" i="2"/>
  <c r="G236" i="2"/>
  <c r="F236" i="2"/>
  <c r="G235" i="2"/>
  <c r="F235" i="2"/>
  <c r="I235" i="2" s="1"/>
  <c r="J235" i="2" s="1"/>
  <c r="I234" i="2"/>
  <c r="J234" i="2" s="1"/>
  <c r="H234" i="2"/>
  <c r="G234" i="2"/>
  <c r="F234" i="2"/>
  <c r="I233" i="2"/>
  <c r="J233" i="2" s="1"/>
  <c r="H233" i="2"/>
  <c r="G233" i="2"/>
  <c r="F233" i="2"/>
  <c r="G232" i="2"/>
  <c r="F232" i="2"/>
  <c r="I232" i="2" s="1"/>
  <c r="J232" i="2" s="1"/>
  <c r="H231" i="2"/>
  <c r="G231" i="2"/>
  <c r="F231" i="2"/>
  <c r="I231" i="2" s="1"/>
  <c r="J231" i="2" s="1"/>
  <c r="I230" i="2"/>
  <c r="J230" i="2" s="1"/>
  <c r="H230" i="2"/>
  <c r="G230" i="2"/>
  <c r="F230" i="2"/>
  <c r="G229" i="2"/>
  <c r="F229" i="2"/>
  <c r="H229" i="2" s="1"/>
  <c r="G228" i="2"/>
  <c r="I228" i="2" s="1"/>
  <c r="J228" i="2" s="1"/>
  <c r="F228" i="2"/>
  <c r="G227" i="2"/>
  <c r="I227" i="2" s="1"/>
  <c r="J227" i="2" s="1"/>
  <c r="F227" i="2"/>
  <c r="G226" i="2"/>
  <c r="H226" i="2" s="1"/>
  <c r="F226" i="2"/>
  <c r="I225" i="2"/>
  <c r="J225" i="2" s="1"/>
  <c r="H225" i="2"/>
  <c r="G225" i="2"/>
  <c r="F225" i="2"/>
  <c r="G224" i="2"/>
  <c r="F224" i="2"/>
  <c r="H223" i="2"/>
  <c r="G223" i="2"/>
  <c r="F223" i="2"/>
  <c r="I223" i="2" s="1"/>
  <c r="J223" i="2" s="1"/>
  <c r="I222" i="2"/>
  <c r="J222" i="2" s="1"/>
  <c r="H222" i="2"/>
  <c r="G222" i="2"/>
  <c r="F222" i="2"/>
  <c r="G221" i="2"/>
  <c r="F221" i="2"/>
  <c r="I220" i="2"/>
  <c r="J220" i="2" s="1"/>
  <c r="H220" i="2"/>
  <c r="G220" i="2"/>
  <c r="F220" i="2"/>
  <c r="G219" i="2"/>
  <c r="F219" i="2"/>
  <c r="I219" i="2" s="1"/>
  <c r="J219" i="2" s="1"/>
  <c r="G218" i="2"/>
  <c r="H218" i="2" s="1"/>
  <c r="F218" i="2"/>
  <c r="I218" i="2" s="1"/>
  <c r="J218" i="2" s="1"/>
  <c r="I217" i="2"/>
  <c r="J217" i="2" s="1"/>
  <c r="G217" i="2"/>
  <c r="F217" i="2"/>
  <c r="H217" i="2" s="1"/>
  <c r="H216" i="2"/>
  <c r="G216" i="2"/>
  <c r="F216" i="2"/>
  <c r="I216" i="2" s="1"/>
  <c r="J216" i="2" s="1"/>
  <c r="G215" i="2"/>
  <c r="H215" i="2" s="1"/>
  <c r="F215" i="2"/>
  <c r="I214" i="2"/>
  <c r="J214" i="2" s="1"/>
  <c r="H214" i="2"/>
  <c r="G214" i="2"/>
  <c r="F214" i="2"/>
  <c r="G213" i="2"/>
  <c r="F213" i="2"/>
  <c r="G212" i="2"/>
  <c r="F212" i="2"/>
  <c r="G211" i="2"/>
  <c r="F211" i="2"/>
  <c r="I211" i="2" s="1"/>
  <c r="J211" i="2" s="1"/>
  <c r="I210" i="2"/>
  <c r="J210" i="2" s="1"/>
  <c r="H210" i="2"/>
  <c r="G210" i="2"/>
  <c r="F210" i="2"/>
  <c r="I209" i="2"/>
  <c r="J209" i="2" s="1"/>
  <c r="H209" i="2"/>
  <c r="G209" i="2"/>
  <c r="F209" i="2"/>
  <c r="G208" i="2"/>
  <c r="F208" i="2"/>
  <c r="G207" i="2"/>
  <c r="F207" i="2"/>
  <c r="I207" i="2" s="1"/>
  <c r="J207" i="2" s="1"/>
  <c r="I206" i="2"/>
  <c r="J206" i="2" s="1"/>
  <c r="H206" i="2"/>
  <c r="G206" i="2"/>
  <c r="F206" i="2"/>
  <c r="G205" i="2"/>
  <c r="F205" i="2"/>
  <c r="H204" i="2"/>
  <c r="G204" i="2"/>
  <c r="F204" i="2"/>
  <c r="I204" i="2" s="1"/>
  <c r="J204" i="2" s="1"/>
  <c r="G203" i="2"/>
  <c r="I203" i="2" s="1"/>
  <c r="J203" i="2" s="1"/>
  <c r="F203" i="2"/>
  <c r="G202" i="2"/>
  <c r="H202" i="2" s="1"/>
  <c r="F202" i="2"/>
  <c r="I201" i="2"/>
  <c r="J201" i="2" s="1"/>
  <c r="H201" i="2"/>
  <c r="G201" i="2"/>
  <c r="F201" i="2"/>
  <c r="G200" i="2"/>
  <c r="F200" i="2"/>
  <c r="G199" i="2"/>
  <c r="F199" i="2"/>
  <c r="I199" i="2" s="1"/>
  <c r="J199" i="2" s="1"/>
  <c r="I198" i="2"/>
  <c r="J198" i="2" s="1"/>
  <c r="H198" i="2"/>
  <c r="G198" i="2"/>
  <c r="F198" i="2"/>
  <c r="G197" i="2"/>
  <c r="F197" i="2"/>
  <c r="I196" i="2"/>
  <c r="J196" i="2" s="1"/>
  <c r="H196" i="2"/>
  <c r="G196" i="2"/>
  <c r="F196" i="2"/>
  <c r="G195" i="2"/>
  <c r="F195" i="2"/>
  <c r="I195" i="2" s="1"/>
  <c r="J195" i="2" s="1"/>
  <c r="G194" i="2"/>
  <c r="H194" i="2" s="1"/>
  <c r="F194" i="2"/>
  <c r="I194" i="2" s="1"/>
  <c r="J194" i="2" s="1"/>
  <c r="I193" i="2"/>
  <c r="J193" i="2" s="1"/>
  <c r="G193" i="2"/>
  <c r="F193" i="2"/>
  <c r="H193" i="2" s="1"/>
  <c r="H192" i="2"/>
  <c r="G192" i="2"/>
  <c r="F192" i="2"/>
  <c r="I192" i="2" s="1"/>
  <c r="J192" i="2" s="1"/>
  <c r="I191" i="2"/>
  <c r="J191" i="2" s="1"/>
  <c r="G191" i="2"/>
  <c r="H191" i="2" s="1"/>
  <c r="F191" i="2"/>
  <c r="I190" i="2"/>
  <c r="J190" i="2" s="1"/>
  <c r="H190" i="2"/>
  <c r="G190" i="2"/>
  <c r="F190" i="2"/>
  <c r="G189" i="2"/>
  <c r="F189" i="2"/>
  <c r="G188" i="2"/>
  <c r="F188" i="2"/>
  <c r="G187" i="2"/>
  <c r="F187" i="2"/>
  <c r="I187" i="2" s="1"/>
  <c r="J187" i="2" s="1"/>
  <c r="I186" i="2"/>
  <c r="J186" i="2" s="1"/>
  <c r="H186" i="2"/>
  <c r="G186" i="2"/>
  <c r="F186" i="2"/>
  <c r="I185" i="2"/>
  <c r="J185" i="2" s="1"/>
  <c r="H185" i="2"/>
  <c r="G185" i="2"/>
  <c r="F185" i="2"/>
  <c r="G184" i="2"/>
  <c r="F184" i="2"/>
  <c r="H183" i="2"/>
  <c r="G183" i="2"/>
  <c r="F183" i="2"/>
  <c r="I183" i="2" s="1"/>
  <c r="J183" i="2" s="1"/>
  <c r="I182" i="2"/>
  <c r="J182" i="2" s="1"/>
  <c r="H182" i="2"/>
  <c r="G182" i="2"/>
  <c r="F182" i="2"/>
  <c r="G181" i="2"/>
  <c r="F181" i="2"/>
  <c r="H180" i="2"/>
  <c r="G180" i="2"/>
  <c r="F180" i="2"/>
  <c r="G179" i="2"/>
  <c r="I179" i="2" s="1"/>
  <c r="J179" i="2" s="1"/>
  <c r="F179" i="2"/>
  <c r="I178" i="2"/>
  <c r="J178" i="2" s="1"/>
  <c r="H178" i="2"/>
  <c r="G178" i="2"/>
  <c r="F178" i="2"/>
  <c r="I177" i="2"/>
  <c r="J177" i="2" s="1"/>
  <c r="H177" i="2"/>
  <c r="G177" i="2"/>
  <c r="F177" i="2"/>
  <c r="G176" i="2"/>
  <c r="F176" i="2"/>
  <c r="G175" i="2"/>
  <c r="H175" i="2" s="1"/>
  <c r="F175" i="2"/>
  <c r="I174" i="2"/>
  <c r="J174" i="2" s="1"/>
  <c r="H174" i="2"/>
  <c r="G174" i="2"/>
  <c r="F174" i="2"/>
  <c r="G173" i="2"/>
  <c r="F173" i="2"/>
  <c r="I173" i="2" s="1"/>
  <c r="J173" i="2" s="1"/>
  <c r="I172" i="2"/>
  <c r="J172" i="2" s="1"/>
  <c r="H172" i="2"/>
  <c r="G172" i="2"/>
  <c r="F172" i="2"/>
  <c r="G171" i="2"/>
  <c r="F171" i="2"/>
  <c r="G170" i="2"/>
  <c r="F170" i="2"/>
  <c r="I170" i="2" s="1"/>
  <c r="J170" i="2" s="1"/>
  <c r="G169" i="2"/>
  <c r="F169" i="2"/>
  <c r="H169" i="2" s="1"/>
  <c r="H168" i="2"/>
  <c r="G168" i="2"/>
  <c r="F168" i="2"/>
  <c r="I168" i="2" s="1"/>
  <c r="J168" i="2" s="1"/>
  <c r="I167" i="2"/>
  <c r="J167" i="2" s="1"/>
  <c r="H167" i="2"/>
  <c r="G167" i="2"/>
  <c r="F167" i="2"/>
  <c r="G166" i="2"/>
  <c r="F166" i="2"/>
  <c r="G165" i="2"/>
  <c r="H165" i="2" s="1"/>
  <c r="F165" i="2"/>
  <c r="G164" i="2"/>
  <c r="F164" i="2"/>
  <c r="I164" i="2" s="1"/>
  <c r="J164" i="2" s="1"/>
  <c r="G163" i="2"/>
  <c r="H163" i="2" s="1"/>
  <c r="F163" i="2"/>
  <c r="I163" i="2" s="1"/>
  <c r="J163" i="2" s="1"/>
  <c r="I162" i="2"/>
  <c r="J162" i="2" s="1"/>
  <c r="H162" i="2"/>
  <c r="G162" i="2"/>
  <c r="F162" i="2"/>
  <c r="I161" i="2"/>
  <c r="J161" i="2" s="1"/>
  <c r="G161" i="2"/>
  <c r="F161" i="2"/>
  <c r="H161" i="2" s="1"/>
  <c r="G160" i="2"/>
  <c r="F160" i="2"/>
  <c r="I160" i="2" s="1"/>
  <c r="J160" i="2" s="1"/>
  <c r="G159" i="2"/>
  <c r="F159" i="2"/>
  <c r="G158" i="2"/>
  <c r="H158" i="2" s="1"/>
  <c r="F158" i="2"/>
  <c r="I158" i="2" s="1"/>
  <c r="J158" i="2" s="1"/>
  <c r="G157" i="2"/>
  <c r="I157" i="2" s="1"/>
  <c r="J157" i="2" s="1"/>
  <c r="F157" i="2"/>
  <c r="H156" i="2"/>
  <c r="G156" i="2"/>
  <c r="F156" i="2"/>
  <c r="I156" i="2" s="1"/>
  <c r="J156" i="2" s="1"/>
  <c r="G155" i="2"/>
  <c r="H155" i="2" s="1"/>
  <c r="F155" i="2"/>
  <c r="G154" i="2"/>
  <c r="F154" i="2"/>
  <c r="G153" i="2"/>
  <c r="H153" i="2" s="1"/>
  <c r="F153" i="2"/>
  <c r="H152" i="2"/>
  <c r="G152" i="2"/>
  <c r="F152" i="2"/>
  <c r="H151" i="2"/>
  <c r="G151" i="2"/>
  <c r="F151" i="2"/>
  <c r="I151" i="2" s="1"/>
  <c r="J151" i="2" s="1"/>
  <c r="G150" i="2"/>
  <c r="F150" i="2"/>
  <c r="H150" i="2" s="1"/>
  <c r="G149" i="2"/>
  <c r="F149" i="2"/>
  <c r="H148" i="2"/>
  <c r="G148" i="2"/>
  <c r="F148" i="2"/>
  <c r="I148" i="2" s="1"/>
  <c r="J148" i="2" s="1"/>
  <c r="G147" i="2"/>
  <c r="I147" i="2" s="1"/>
  <c r="J147" i="2" s="1"/>
  <c r="F147" i="2"/>
  <c r="H146" i="2"/>
  <c r="G146" i="2"/>
  <c r="F146" i="2"/>
  <c r="I146" i="2" s="1"/>
  <c r="J146" i="2" s="1"/>
  <c r="I145" i="2"/>
  <c r="J145" i="2" s="1"/>
  <c r="G145" i="2"/>
  <c r="F145" i="2"/>
  <c r="H145" i="2" s="1"/>
  <c r="I144" i="2"/>
  <c r="J144" i="2" s="1"/>
  <c r="H144" i="2"/>
  <c r="G144" i="2"/>
  <c r="F144" i="2"/>
  <c r="G143" i="2"/>
  <c r="F143" i="2"/>
  <c r="I142" i="2"/>
  <c r="J142" i="2" s="1"/>
  <c r="H142" i="2"/>
  <c r="G142" i="2"/>
  <c r="F142" i="2"/>
  <c r="H141" i="2"/>
  <c r="G141" i="2"/>
  <c r="F141" i="2"/>
  <c r="I141" i="2" s="1"/>
  <c r="J141" i="2" s="1"/>
  <c r="G140" i="2"/>
  <c r="F140" i="2"/>
  <c r="I140" i="2" s="1"/>
  <c r="J140" i="2" s="1"/>
  <c r="I139" i="2"/>
  <c r="J139" i="2" s="1"/>
  <c r="H139" i="2"/>
  <c r="G139" i="2"/>
  <c r="F139" i="2"/>
  <c r="G138" i="2"/>
  <c r="F138" i="2"/>
  <c r="I137" i="2"/>
  <c r="J137" i="2" s="1"/>
  <c r="G137" i="2"/>
  <c r="H137" i="2" s="1"/>
  <c r="F137" i="2"/>
  <c r="H136" i="2"/>
  <c r="G136" i="2"/>
  <c r="F136" i="2"/>
  <c r="I136" i="2" s="1"/>
  <c r="J136" i="2" s="1"/>
  <c r="G135" i="2"/>
  <c r="F135" i="2"/>
  <c r="I135" i="2" s="1"/>
  <c r="J135" i="2" s="1"/>
  <c r="I134" i="2"/>
  <c r="J134" i="2" s="1"/>
  <c r="H134" i="2"/>
  <c r="G134" i="2"/>
  <c r="F134" i="2"/>
  <c r="G133" i="2"/>
  <c r="F133" i="2"/>
  <c r="G132" i="2"/>
  <c r="F132" i="2"/>
  <c r="I132" i="2" s="1"/>
  <c r="J132" i="2" s="1"/>
  <c r="G131" i="2"/>
  <c r="F131" i="2"/>
  <c r="I130" i="2"/>
  <c r="J130" i="2" s="1"/>
  <c r="H130" i="2"/>
  <c r="G130" i="2"/>
  <c r="F130" i="2"/>
  <c r="I129" i="2"/>
  <c r="J129" i="2" s="1"/>
  <c r="H129" i="2"/>
  <c r="G129" i="2"/>
  <c r="F129" i="2"/>
  <c r="G128" i="2"/>
  <c r="F128" i="2"/>
  <c r="G127" i="2"/>
  <c r="H127" i="2" s="1"/>
  <c r="F127" i="2"/>
  <c r="I126" i="2"/>
  <c r="J126" i="2" s="1"/>
  <c r="H126" i="2"/>
  <c r="G126" i="2"/>
  <c r="F126" i="2"/>
  <c r="I125" i="2"/>
  <c r="J125" i="2" s="1"/>
  <c r="H125" i="2"/>
  <c r="G125" i="2"/>
  <c r="F125" i="2"/>
  <c r="I124" i="2"/>
  <c r="J124" i="2" s="1"/>
  <c r="H124" i="2"/>
  <c r="G124" i="2"/>
  <c r="F124" i="2"/>
  <c r="G123" i="2"/>
  <c r="F123" i="2"/>
  <c r="H123" i="2" s="1"/>
  <c r="G122" i="2"/>
  <c r="H122" i="2" s="1"/>
  <c r="F122" i="2"/>
  <c r="G121" i="2"/>
  <c r="F121" i="2"/>
  <c r="G120" i="2"/>
  <c r="H120" i="2" s="1"/>
  <c r="F120" i="2"/>
  <c r="I120" i="2" s="1"/>
  <c r="J120" i="2" s="1"/>
  <c r="I119" i="2"/>
  <c r="J119" i="2" s="1"/>
  <c r="H119" i="2"/>
  <c r="G119" i="2"/>
  <c r="F119" i="2"/>
  <c r="I118" i="2"/>
  <c r="J118" i="2" s="1"/>
  <c r="G118" i="2"/>
  <c r="F118" i="2"/>
  <c r="H118" i="2" s="1"/>
  <c r="G117" i="2"/>
  <c r="F117" i="2"/>
  <c r="I117" i="2" s="1"/>
  <c r="J117" i="2" s="1"/>
  <c r="G116" i="2"/>
  <c r="F116" i="2"/>
  <c r="G115" i="2"/>
  <c r="H115" i="2" s="1"/>
  <c r="F115" i="2"/>
  <c r="I115" i="2" s="1"/>
  <c r="J115" i="2" s="1"/>
  <c r="I114" i="2"/>
  <c r="J114" i="2" s="1"/>
  <c r="H114" i="2"/>
  <c r="G114" i="2"/>
  <c r="F114" i="2"/>
  <c r="I113" i="2"/>
  <c r="J113" i="2" s="1"/>
  <c r="G113" i="2"/>
  <c r="F113" i="2"/>
  <c r="H113" i="2" s="1"/>
  <c r="G112" i="2"/>
  <c r="F112" i="2"/>
  <c r="I112" i="2" s="1"/>
  <c r="J112" i="2" s="1"/>
  <c r="G111" i="2"/>
  <c r="F111" i="2"/>
  <c r="G110" i="2"/>
  <c r="H110" i="2" s="1"/>
  <c r="F110" i="2"/>
  <c r="I109" i="2"/>
  <c r="J109" i="2" s="1"/>
  <c r="G109" i="2"/>
  <c r="F109" i="2"/>
  <c r="H108" i="2"/>
  <c r="G108" i="2"/>
  <c r="F108" i="2"/>
  <c r="I108" i="2" s="1"/>
  <c r="J108" i="2" s="1"/>
  <c r="G107" i="2"/>
  <c r="H107" i="2" s="1"/>
  <c r="F107" i="2"/>
  <c r="G106" i="2"/>
  <c r="F106" i="2"/>
  <c r="H105" i="2"/>
  <c r="G105" i="2"/>
  <c r="F105" i="2"/>
  <c r="I105" i="2" s="1"/>
  <c r="J105" i="2" s="1"/>
  <c r="G104" i="2"/>
  <c r="H104" i="2" s="1"/>
  <c r="F104" i="2"/>
  <c r="H103" i="2"/>
  <c r="G103" i="2"/>
  <c r="F103" i="2"/>
  <c r="I103" i="2" s="1"/>
  <c r="J103" i="2" s="1"/>
  <c r="I102" i="2"/>
  <c r="J102" i="2" s="1"/>
  <c r="G102" i="2"/>
  <c r="F102" i="2"/>
  <c r="H102" i="2" s="1"/>
  <c r="G101" i="2"/>
  <c r="F101" i="2"/>
  <c r="H100" i="2"/>
  <c r="G100" i="2"/>
  <c r="F100" i="2"/>
  <c r="I100" i="2" s="1"/>
  <c r="J100" i="2" s="1"/>
  <c r="I99" i="2"/>
  <c r="J99" i="2" s="1"/>
  <c r="G99" i="2"/>
  <c r="H99" i="2" s="1"/>
  <c r="F99" i="2"/>
  <c r="H98" i="2"/>
  <c r="G98" i="2"/>
  <c r="F98" i="2"/>
  <c r="I98" i="2" s="1"/>
  <c r="J98" i="2" s="1"/>
  <c r="I97" i="2"/>
  <c r="J97" i="2" s="1"/>
  <c r="G97" i="2"/>
  <c r="F97" i="2"/>
  <c r="H97" i="2" s="1"/>
  <c r="I96" i="2"/>
  <c r="J96" i="2" s="1"/>
  <c r="H96" i="2"/>
  <c r="G96" i="2"/>
  <c r="F96" i="2"/>
  <c r="G95" i="2"/>
  <c r="F95" i="2"/>
  <c r="G94" i="2"/>
  <c r="H94" i="2" s="1"/>
  <c r="F94" i="2"/>
  <c r="H93" i="2"/>
  <c r="G93" i="2"/>
  <c r="F93" i="2"/>
  <c r="I93" i="2" s="1"/>
  <c r="J93" i="2" s="1"/>
  <c r="H92" i="2"/>
  <c r="G92" i="2"/>
  <c r="F92" i="2"/>
  <c r="I92" i="2" s="1"/>
  <c r="J92" i="2" s="1"/>
  <c r="I91" i="2"/>
  <c r="J91" i="2" s="1"/>
  <c r="H91" i="2"/>
  <c r="G91" i="2"/>
  <c r="F91" i="2"/>
  <c r="G90" i="2"/>
  <c r="F90" i="2"/>
  <c r="I89" i="2"/>
  <c r="J89" i="2" s="1"/>
  <c r="H89" i="2"/>
  <c r="G89" i="2"/>
  <c r="F89" i="2"/>
  <c r="H88" i="2"/>
  <c r="G88" i="2"/>
  <c r="F88" i="2"/>
  <c r="I88" i="2" s="1"/>
  <c r="J88" i="2" s="1"/>
  <c r="I87" i="2"/>
  <c r="J87" i="2" s="1"/>
  <c r="G87" i="2"/>
  <c r="F87" i="2"/>
  <c r="H87" i="2" s="1"/>
  <c r="I86" i="2"/>
  <c r="J86" i="2" s="1"/>
  <c r="H86" i="2"/>
  <c r="G86" i="2"/>
  <c r="F86" i="2"/>
  <c r="G85" i="2"/>
  <c r="F85" i="2"/>
  <c r="G84" i="2"/>
  <c r="F84" i="2"/>
  <c r="I84" i="2" s="1"/>
  <c r="J84" i="2" s="1"/>
  <c r="G83" i="2"/>
  <c r="F83" i="2"/>
  <c r="I82" i="2"/>
  <c r="J82" i="2" s="1"/>
  <c r="G82" i="2"/>
  <c r="F82" i="2"/>
  <c r="H82" i="2" s="1"/>
  <c r="I81" i="2"/>
  <c r="J81" i="2" s="1"/>
  <c r="H81" i="2"/>
  <c r="G81" i="2"/>
  <c r="F81" i="2"/>
  <c r="G80" i="2"/>
  <c r="F80" i="2"/>
  <c r="G79" i="2"/>
  <c r="F79" i="2"/>
  <c r="I79" i="2" s="1"/>
  <c r="J79" i="2" s="1"/>
  <c r="I78" i="2"/>
  <c r="J78" i="2" s="1"/>
  <c r="H78" i="2"/>
  <c r="G78" i="2"/>
  <c r="F78" i="2"/>
  <c r="G77" i="2"/>
  <c r="F77" i="2"/>
  <c r="I77" i="2" s="1"/>
  <c r="J77" i="2" s="1"/>
  <c r="I76" i="2"/>
  <c r="J76" i="2" s="1"/>
  <c r="H76" i="2"/>
  <c r="G76" i="2"/>
  <c r="F76" i="2"/>
  <c r="I75" i="2"/>
  <c r="J75" i="2" s="1"/>
  <c r="G75" i="2"/>
  <c r="F75" i="2"/>
  <c r="H75" i="2" s="1"/>
  <c r="G74" i="2"/>
  <c r="F74" i="2"/>
  <c r="I74" i="2" s="1"/>
  <c r="J74" i="2" s="1"/>
  <c r="G73" i="2"/>
  <c r="F73" i="2"/>
  <c r="G72" i="2"/>
  <c r="H72" i="2" s="1"/>
  <c r="F72" i="2"/>
  <c r="I72" i="2" s="1"/>
  <c r="J72" i="2" s="1"/>
  <c r="E12" i="1" s="1"/>
  <c r="I71" i="2"/>
  <c r="J71" i="2" s="1"/>
  <c r="H71" i="2"/>
  <c r="G71" i="2"/>
  <c r="F71" i="2"/>
  <c r="I70" i="2"/>
  <c r="J70" i="2" s="1"/>
  <c r="G70" i="2"/>
  <c r="F70" i="2"/>
  <c r="H70" i="2" s="1"/>
  <c r="G69" i="2"/>
  <c r="F69" i="2"/>
  <c r="I69" i="2" s="1"/>
  <c r="J69" i="2" s="1"/>
  <c r="G68" i="2"/>
  <c r="F68" i="2"/>
  <c r="G67" i="2"/>
  <c r="H67" i="2" s="1"/>
  <c r="F67" i="2"/>
  <c r="I66" i="2"/>
  <c r="J66" i="2" s="1"/>
  <c r="H66" i="2"/>
  <c r="G66" i="2"/>
  <c r="F66" i="2"/>
  <c r="G65" i="2"/>
  <c r="F65" i="2"/>
  <c r="H65" i="2" s="1"/>
  <c r="G64" i="2"/>
  <c r="H64" i="2" s="1"/>
  <c r="F64" i="2"/>
  <c r="G63" i="2"/>
  <c r="F63" i="2"/>
  <c r="H62" i="2"/>
  <c r="G62" i="2"/>
  <c r="F62" i="2"/>
  <c r="I62" i="2" s="1"/>
  <c r="J62" i="2" s="1"/>
  <c r="G61" i="2"/>
  <c r="I61" i="2" s="1"/>
  <c r="J61" i="2" s="1"/>
  <c r="F61" i="2"/>
  <c r="H60" i="2"/>
  <c r="G60" i="2"/>
  <c r="F60" i="2"/>
  <c r="I60" i="2" s="1"/>
  <c r="J60" i="2" s="1"/>
  <c r="I59" i="2"/>
  <c r="J59" i="2" s="1"/>
  <c r="G59" i="2"/>
  <c r="H59" i="2" s="1"/>
  <c r="F59" i="2"/>
  <c r="G58" i="2"/>
  <c r="F58" i="2"/>
  <c r="H57" i="2"/>
  <c r="G57" i="2"/>
  <c r="F57" i="2"/>
  <c r="I57" i="2" s="1"/>
  <c r="J57" i="2" s="1"/>
  <c r="G56" i="2"/>
  <c r="H56" i="2" s="1"/>
  <c r="F56" i="2"/>
  <c r="H55" i="2"/>
  <c r="G55" i="2"/>
  <c r="F55" i="2"/>
  <c r="I55" i="2" s="1"/>
  <c r="J55" i="2" s="1"/>
  <c r="I54" i="2"/>
  <c r="J54" i="2" s="1"/>
  <c r="G54" i="2"/>
  <c r="F54" i="2"/>
  <c r="H54" i="2" s="1"/>
  <c r="G53" i="2"/>
  <c r="F53" i="2"/>
  <c r="G52" i="2"/>
  <c r="H52" i="2" s="1"/>
  <c r="F52" i="2"/>
  <c r="G51" i="2"/>
  <c r="I51" i="2" s="1"/>
  <c r="J51" i="2" s="1"/>
  <c r="F51" i="2"/>
  <c r="H50" i="2"/>
  <c r="G50" i="2"/>
  <c r="F50" i="2"/>
  <c r="I50" i="2" s="1"/>
  <c r="J50" i="2" s="1"/>
  <c r="G49" i="2"/>
  <c r="F49" i="2"/>
  <c r="H49" i="2" s="1"/>
  <c r="I48" i="2"/>
  <c r="J48" i="2" s="1"/>
  <c r="H48" i="2"/>
  <c r="G48" i="2"/>
  <c r="F48" i="2"/>
  <c r="G47" i="2"/>
  <c r="F47" i="2"/>
  <c r="I46" i="2"/>
  <c r="J46" i="2" s="1"/>
  <c r="G46" i="2"/>
  <c r="H46" i="2" s="1"/>
  <c r="F46" i="2"/>
  <c r="H45" i="2"/>
  <c r="G45" i="2"/>
  <c r="F45" i="2"/>
  <c r="I45" i="2" s="1"/>
  <c r="J45" i="2" s="1"/>
  <c r="H44" i="2"/>
  <c r="G44" i="2"/>
  <c r="F44" i="2"/>
  <c r="I44" i="2" s="1"/>
  <c r="J44" i="2" s="1"/>
  <c r="I43" i="2"/>
  <c r="J43" i="2" s="1"/>
  <c r="H43" i="2"/>
  <c r="G43" i="2"/>
  <c r="F43" i="2"/>
  <c r="G42" i="2"/>
  <c r="F42" i="2"/>
  <c r="I41" i="2"/>
  <c r="J41" i="2" s="1"/>
  <c r="H41" i="2"/>
  <c r="G41" i="2"/>
  <c r="F41" i="2"/>
  <c r="H40" i="2"/>
  <c r="G40" i="2"/>
  <c r="F40" i="2"/>
  <c r="I40" i="2" s="1"/>
  <c r="J40" i="2" s="1"/>
  <c r="I39" i="2"/>
  <c r="J39" i="2" s="1"/>
  <c r="G39" i="2"/>
  <c r="F39" i="2"/>
  <c r="H39" i="2" s="1"/>
  <c r="I38" i="2"/>
  <c r="J38" i="2" s="1"/>
  <c r="H38" i="2"/>
  <c r="G38" i="2"/>
  <c r="F38" i="2"/>
  <c r="G37" i="2"/>
  <c r="F37" i="2"/>
  <c r="G36" i="2"/>
  <c r="F36" i="2"/>
  <c r="I36" i="2" s="1"/>
  <c r="J36" i="2" s="1"/>
  <c r="G35" i="2"/>
  <c r="F35" i="2"/>
  <c r="G34" i="2"/>
  <c r="H34" i="2" s="1"/>
  <c r="F34" i="2"/>
  <c r="I33" i="2"/>
  <c r="J33" i="2" s="1"/>
  <c r="H33" i="2"/>
  <c r="G33" i="2"/>
  <c r="F33" i="2"/>
  <c r="G32" i="2"/>
  <c r="F32" i="2"/>
  <c r="H31" i="2"/>
  <c r="G31" i="2"/>
  <c r="F31" i="2"/>
  <c r="I31" i="2" s="1"/>
  <c r="J31" i="2" s="1"/>
  <c r="I30" i="2"/>
  <c r="J30" i="2" s="1"/>
  <c r="H30" i="2"/>
  <c r="G30" i="2"/>
  <c r="F30" i="2"/>
  <c r="I29" i="2"/>
  <c r="J29" i="2" s="1"/>
  <c r="H29" i="2"/>
  <c r="G29" i="2"/>
  <c r="F29" i="2"/>
  <c r="I28" i="2"/>
  <c r="J28" i="2" s="1"/>
  <c r="H28" i="2"/>
  <c r="G28" i="2"/>
  <c r="F28" i="2"/>
  <c r="G27" i="2"/>
  <c r="F27" i="2"/>
  <c r="H27" i="2" s="1"/>
  <c r="I26" i="2"/>
  <c r="J26" i="2" s="1"/>
  <c r="G26" i="2"/>
  <c r="F26" i="2"/>
  <c r="H26" i="2" s="1"/>
  <c r="G25" i="2"/>
  <c r="F25" i="2"/>
  <c r="H24" i="2"/>
  <c r="G24" i="2"/>
  <c r="F24" i="2"/>
  <c r="I23" i="2"/>
  <c r="J23" i="2" s="1"/>
  <c r="H23" i="2"/>
  <c r="G23" i="2"/>
  <c r="F23" i="2"/>
  <c r="I22" i="2"/>
  <c r="J22" i="2" s="1"/>
  <c r="G22" i="2"/>
  <c r="F22" i="2"/>
  <c r="H22" i="2" s="1"/>
  <c r="I21" i="2"/>
  <c r="J21" i="2" s="1"/>
  <c r="G21" i="2"/>
  <c r="F21" i="2"/>
  <c r="H21" i="2" s="1"/>
  <c r="G20" i="2"/>
  <c r="F20" i="2"/>
  <c r="H19" i="2"/>
  <c r="G19" i="2"/>
  <c r="F19" i="2"/>
  <c r="I19" i="2" s="1"/>
  <c r="J19" i="2" s="1"/>
  <c r="I18" i="2"/>
  <c r="J18" i="2" s="1"/>
  <c r="H18" i="2"/>
  <c r="G18" i="2"/>
  <c r="F18" i="2"/>
  <c r="G17" i="2"/>
  <c r="F17" i="2"/>
  <c r="H17" i="2" s="1"/>
  <c r="I16" i="2"/>
  <c r="J16" i="2" s="1"/>
  <c r="G16" i="2"/>
  <c r="F16" i="2"/>
  <c r="H16" i="2" s="1"/>
  <c r="G15" i="2"/>
  <c r="F15" i="2"/>
  <c r="H14" i="2"/>
  <c r="G14" i="2"/>
  <c r="F14" i="2"/>
  <c r="G13" i="2"/>
  <c r="I13" i="2" s="1"/>
  <c r="J13" i="2" s="1"/>
  <c r="F13" i="2"/>
  <c r="H12" i="2"/>
  <c r="G12" i="2"/>
  <c r="F12" i="2"/>
  <c r="I12" i="2" s="1"/>
  <c r="J12" i="2" s="1"/>
  <c r="I11" i="2"/>
  <c r="J11" i="2" s="1"/>
  <c r="H11" i="2"/>
  <c r="G11" i="2"/>
  <c r="F11" i="2"/>
  <c r="G10" i="2"/>
  <c r="F10" i="2"/>
  <c r="H9" i="2"/>
  <c r="G9" i="2"/>
  <c r="F9" i="2"/>
  <c r="I9" i="2" s="1"/>
  <c r="J9" i="2" s="1"/>
  <c r="G8" i="2"/>
  <c r="H8" i="2" s="1"/>
  <c r="F8" i="2"/>
  <c r="H7" i="2"/>
  <c r="G7" i="2"/>
  <c r="F7" i="2"/>
  <c r="I7" i="2" s="1"/>
  <c r="J7" i="2" s="1"/>
  <c r="I6" i="2"/>
  <c r="J6" i="2" s="1"/>
  <c r="H6" i="2"/>
  <c r="G6" i="2"/>
  <c r="F6" i="2"/>
  <c r="G5" i="2"/>
  <c r="F5" i="2"/>
  <c r="H4" i="2"/>
  <c r="G4" i="2"/>
  <c r="F4" i="2"/>
  <c r="G3" i="2"/>
  <c r="I3" i="2" s="1"/>
  <c r="J3" i="2" s="1"/>
  <c r="F3" i="2"/>
  <c r="E7" i="1" l="1"/>
  <c r="D10" i="1"/>
  <c r="E21" i="1"/>
  <c r="H22" i="1"/>
  <c r="E11" i="1"/>
  <c r="I143" i="2"/>
  <c r="J143" i="2" s="1"/>
  <c r="D19" i="1" s="1"/>
  <c r="H143" i="2"/>
  <c r="I34" i="2"/>
  <c r="J34" i="2" s="1"/>
  <c r="I47" i="2"/>
  <c r="J47" i="2" s="1"/>
  <c r="H47" i="2"/>
  <c r="I68" i="2"/>
  <c r="J68" i="2" s="1"/>
  <c r="H68" i="2"/>
  <c r="H84" i="2"/>
  <c r="I107" i="2"/>
  <c r="J107" i="2" s="1"/>
  <c r="I111" i="2"/>
  <c r="J111" i="2" s="1"/>
  <c r="H111" i="2"/>
  <c r="I122" i="2"/>
  <c r="J122" i="2" s="1"/>
  <c r="E17" i="1" s="1"/>
  <c r="H140" i="2"/>
  <c r="I150" i="2"/>
  <c r="J150" i="2" s="1"/>
  <c r="E19" i="1" s="1"/>
  <c r="I154" i="2"/>
  <c r="J154" i="2" s="1"/>
  <c r="H154" i="2"/>
  <c r="I165" i="2"/>
  <c r="J165" i="2" s="1"/>
  <c r="I175" i="2"/>
  <c r="J175" i="2" s="1"/>
  <c r="I197" i="2"/>
  <c r="J197" i="2" s="1"/>
  <c r="F12" i="1" s="1"/>
  <c r="H197" i="2"/>
  <c r="H207" i="2"/>
  <c r="I215" i="2"/>
  <c r="J215" i="2" s="1"/>
  <c r="I22" i="1"/>
  <c r="H3" i="2"/>
  <c r="I65" i="2"/>
  <c r="J65" i="2" s="1"/>
  <c r="I94" i="2"/>
  <c r="J94" i="2" s="1"/>
  <c r="H228" i="2"/>
  <c r="D20" i="1"/>
  <c r="H112" i="2"/>
  <c r="I166" i="2"/>
  <c r="J166" i="2" s="1"/>
  <c r="H166" i="2"/>
  <c r="I176" i="2"/>
  <c r="J176" i="2" s="1"/>
  <c r="H176" i="2"/>
  <c r="I213" i="2"/>
  <c r="J213" i="2" s="1"/>
  <c r="H213" i="2"/>
  <c r="I221" i="2"/>
  <c r="J221" i="2" s="1"/>
  <c r="F17" i="1" s="1"/>
  <c r="H221" i="2"/>
  <c r="I236" i="2"/>
  <c r="J236" i="2" s="1"/>
  <c r="H236" i="2"/>
  <c r="H51" i="2"/>
  <c r="H69" i="2"/>
  <c r="I4" i="2"/>
  <c r="J4" i="2" s="1"/>
  <c r="I14" i="2"/>
  <c r="J14" i="2" s="1"/>
  <c r="I17" i="2"/>
  <c r="J17" i="2" s="1"/>
  <c r="D7" i="1" s="1"/>
  <c r="I24" i="2"/>
  <c r="J24" i="2" s="1"/>
  <c r="I27" i="2"/>
  <c r="J27" i="2" s="1"/>
  <c r="D17" i="1" s="1"/>
  <c r="H36" i="2"/>
  <c r="H73" i="2"/>
  <c r="I73" i="2"/>
  <c r="J73" i="2" s="1"/>
  <c r="I95" i="2"/>
  <c r="J95" i="2" s="1"/>
  <c r="D15" i="1" s="1"/>
  <c r="H95" i="2"/>
  <c r="I116" i="2"/>
  <c r="J116" i="2" s="1"/>
  <c r="H116" i="2"/>
  <c r="H132" i="2"/>
  <c r="H135" i="2"/>
  <c r="I155" i="2"/>
  <c r="J155" i="2" s="1"/>
  <c r="I159" i="2"/>
  <c r="J159" i="2" s="1"/>
  <c r="H159" i="2"/>
  <c r="H173" i="2"/>
  <c r="I180" i="2"/>
  <c r="J180" i="2" s="1"/>
  <c r="H147" i="2"/>
  <c r="H205" i="2"/>
  <c r="I205" i="2"/>
  <c r="J205" i="2" s="1"/>
  <c r="F14" i="1" s="1"/>
  <c r="I42" i="2"/>
  <c r="J42" i="2" s="1"/>
  <c r="H42" i="2"/>
  <c r="E10" i="1"/>
  <c r="I52" i="2"/>
  <c r="J52" i="2" s="1"/>
  <c r="H79" i="2"/>
  <c r="I123" i="2"/>
  <c r="J123" i="2" s="1"/>
  <c r="H170" i="2"/>
  <c r="I202" i="2"/>
  <c r="J202" i="2" s="1"/>
  <c r="I237" i="2"/>
  <c r="J237" i="2" s="1"/>
  <c r="H237" i="2"/>
  <c r="I35" i="2"/>
  <c r="J35" i="2" s="1"/>
  <c r="H35" i="2"/>
  <c r="I131" i="2"/>
  <c r="J131" i="2" s="1"/>
  <c r="H131" i="2"/>
  <c r="I138" i="2"/>
  <c r="J138" i="2" s="1"/>
  <c r="H138" i="2"/>
  <c r="I239" i="2"/>
  <c r="J239" i="2" s="1"/>
  <c r="F21" i="1" s="1"/>
  <c r="I15" i="2"/>
  <c r="J15" i="2" s="1"/>
  <c r="H15" i="2"/>
  <c r="H25" i="2"/>
  <c r="I25" i="2"/>
  <c r="J25" i="2" s="1"/>
  <c r="H37" i="2"/>
  <c r="I37" i="2"/>
  <c r="J37" i="2" s="1"/>
  <c r="I80" i="2"/>
  <c r="J80" i="2" s="1"/>
  <c r="H80" i="2"/>
  <c r="I188" i="2"/>
  <c r="J188" i="2" s="1"/>
  <c r="H188" i="2"/>
  <c r="I101" i="2"/>
  <c r="J101" i="2" s="1"/>
  <c r="H101" i="2"/>
  <c r="I212" i="2"/>
  <c r="J212" i="2" s="1"/>
  <c r="H212" i="2"/>
  <c r="I106" i="2"/>
  <c r="J106" i="2" s="1"/>
  <c r="H106" i="2"/>
  <c r="I184" i="2"/>
  <c r="J184" i="2" s="1"/>
  <c r="F10" i="1" s="1"/>
  <c r="H184" i="2"/>
  <c r="I5" i="2"/>
  <c r="J5" i="2" s="1"/>
  <c r="H5" i="2"/>
  <c r="E14" i="1"/>
  <c r="I171" i="2"/>
  <c r="J171" i="2" s="1"/>
  <c r="H171" i="2"/>
  <c r="I49" i="2"/>
  <c r="J49" i="2" s="1"/>
  <c r="I53" i="2"/>
  <c r="J53" i="2" s="1"/>
  <c r="H53" i="2"/>
  <c r="I64" i="2"/>
  <c r="J64" i="2" s="1"/>
  <c r="I67" i="2"/>
  <c r="J67" i="2" s="1"/>
  <c r="D12" i="1" s="1"/>
  <c r="H74" i="2"/>
  <c r="H77" i="2"/>
  <c r="I83" i="2"/>
  <c r="J83" i="2" s="1"/>
  <c r="H83" i="2"/>
  <c r="I90" i="2"/>
  <c r="J90" i="2" s="1"/>
  <c r="E18" i="1" s="1"/>
  <c r="H90" i="2"/>
  <c r="I110" i="2"/>
  <c r="J110" i="2" s="1"/>
  <c r="E16" i="1" s="1"/>
  <c r="H117" i="2"/>
  <c r="I127" i="2"/>
  <c r="J127" i="2" s="1"/>
  <c r="D16" i="1" s="1"/>
  <c r="I153" i="2"/>
  <c r="J153" i="2" s="1"/>
  <c r="H160" i="2"/>
  <c r="H181" i="2"/>
  <c r="I181" i="2"/>
  <c r="J181" i="2" s="1"/>
  <c r="H199" i="2"/>
  <c r="I226" i="2"/>
  <c r="J226" i="2" s="1"/>
  <c r="I32" i="2"/>
  <c r="J32" i="2" s="1"/>
  <c r="H32" i="2"/>
  <c r="I10" i="2"/>
  <c r="J10" i="2" s="1"/>
  <c r="H10" i="2"/>
  <c r="I20" i="2"/>
  <c r="J20" i="2" s="1"/>
  <c r="H20" i="2"/>
  <c r="I58" i="2"/>
  <c r="J58" i="2" s="1"/>
  <c r="H58" i="2"/>
  <c r="H85" i="2"/>
  <c r="I85" i="2"/>
  <c r="J85" i="2" s="1"/>
  <c r="H133" i="2"/>
  <c r="I133" i="2"/>
  <c r="J133" i="2" s="1"/>
  <c r="H121" i="2"/>
  <c r="I121" i="2"/>
  <c r="J121" i="2" s="1"/>
  <c r="I128" i="2"/>
  <c r="J128" i="2" s="1"/>
  <c r="H128" i="2"/>
  <c r="I208" i="2"/>
  <c r="J208" i="2" s="1"/>
  <c r="H208" i="2"/>
  <c r="I63" i="2"/>
  <c r="J63" i="2" s="1"/>
  <c r="H63" i="2"/>
  <c r="I149" i="2"/>
  <c r="J149" i="2" s="1"/>
  <c r="H149" i="2"/>
  <c r="I189" i="2"/>
  <c r="J189" i="2" s="1"/>
  <c r="H189" i="2"/>
  <c r="G22" i="1"/>
  <c r="J22" i="1"/>
  <c r="I200" i="2"/>
  <c r="J200" i="2" s="1"/>
  <c r="F13" i="1" s="1"/>
  <c r="H200" i="2"/>
  <c r="I224" i="2"/>
  <c r="J224" i="2" s="1"/>
  <c r="H224" i="2"/>
  <c r="I229" i="2"/>
  <c r="J229" i="2" s="1"/>
  <c r="F19" i="1" s="1"/>
  <c r="H232" i="2"/>
  <c r="H179" i="2"/>
  <c r="H203" i="2"/>
  <c r="H227" i="2"/>
  <c r="H164" i="2"/>
  <c r="I169" i="2"/>
  <c r="J169" i="2" s="1"/>
  <c r="H187" i="2"/>
  <c r="H195" i="2"/>
  <c r="H211" i="2"/>
  <c r="H219" i="2"/>
  <c r="H235" i="2"/>
  <c r="I8" i="2"/>
  <c r="J8" i="2" s="1"/>
  <c r="H13" i="2"/>
  <c r="I56" i="2"/>
  <c r="J56" i="2" s="1"/>
  <c r="H61" i="2"/>
  <c r="I104" i="2"/>
  <c r="J104" i="2" s="1"/>
  <c r="H109" i="2"/>
  <c r="I152" i="2"/>
  <c r="J152" i="2" s="1"/>
  <c r="E20" i="1" s="1"/>
  <c r="H157" i="2"/>
  <c r="F9" i="1" l="1"/>
  <c r="D9" i="1"/>
  <c r="F15" i="1"/>
  <c r="D18" i="1"/>
  <c r="E13" i="1"/>
  <c r="F8" i="1"/>
  <c r="F6" i="1"/>
  <c r="D21" i="1"/>
  <c r="C21" i="1" s="1"/>
  <c r="E9" i="1"/>
  <c r="D13" i="1"/>
  <c r="F20" i="1"/>
  <c r="C20" i="1" s="1"/>
  <c r="F18" i="1"/>
  <c r="F16" i="1"/>
  <c r="C16" i="1" s="1"/>
  <c r="F7" i="1"/>
  <c r="C7" i="1" s="1"/>
  <c r="E8" i="1"/>
  <c r="C12" i="1"/>
  <c r="C10" i="1"/>
  <c r="C17" i="1"/>
  <c r="E6" i="1"/>
  <c r="D11" i="1"/>
  <c r="D14" i="1"/>
  <c r="C14" i="1" s="1"/>
  <c r="F11" i="1"/>
  <c r="D8" i="1"/>
  <c r="D6" i="1"/>
  <c r="C19" i="1"/>
  <c r="E15" i="1"/>
  <c r="C13" i="1" l="1"/>
  <c r="C18" i="1"/>
  <c r="C15" i="1"/>
  <c r="C9" i="1"/>
  <c r="C8" i="1"/>
  <c r="F22" i="1"/>
  <c r="E22" i="1"/>
  <c r="C11" i="1"/>
  <c r="D22" i="1"/>
  <c r="C6" i="1"/>
  <c r="A8" i="1" l="1"/>
  <c r="A7" i="1"/>
  <c r="C22" i="1"/>
  <c r="A6" i="1"/>
  <c r="A9" i="1"/>
  <c r="A12" i="1"/>
  <c r="A16" i="1"/>
  <c r="A13" i="1"/>
  <c r="A10" i="1"/>
  <c r="A18" i="1"/>
  <c r="A20" i="1"/>
  <c r="A21" i="1"/>
  <c r="A14" i="1"/>
  <c r="A17" i="1"/>
  <c r="A11" i="1"/>
  <c r="A19" i="1"/>
  <c r="A15" i="1"/>
</calcChain>
</file>

<file path=xl/sharedStrings.xml><?xml version="1.0" encoding="utf-8"?>
<sst xmlns="http://schemas.openxmlformats.org/spreadsheetml/2006/main" count="572" uniqueCount="72">
  <si>
    <t>AFL Draft Pick Holdings — Dashboard</t>
  </si>
  <si>
    <t>Total pick value held by each team. Updates automatically from the Picks ledger.</t>
  </si>
  <si>
    <t>Board integrity:</t>
  </si>
  <si>
    <t>Rank</t>
  </si>
  <si>
    <t>Team</t>
  </si>
  <si>
    <t>Total Value</t>
  </si>
  <si>
    <t>2026 Value</t>
  </si>
  <si>
    <t>2027 Value (adj)</t>
  </si>
  <si>
    <t>2028 Value (adj)</t>
  </si>
  <si>
    <t>Picks</t>
  </si>
  <si>
    <t>2026</t>
  </si>
  <si>
    <t>2027</t>
  </si>
  <si>
    <t>2028</t>
  </si>
  <si>
    <t>Adelaide</t>
  </si>
  <si>
    <t>Brisbane</t>
  </si>
  <si>
    <t>Carlton</t>
  </si>
  <si>
    <t>Collingwood</t>
  </si>
  <si>
    <t>Essendon</t>
  </si>
  <si>
    <t>Fremantle</t>
  </si>
  <si>
    <t>Geelong</t>
  </si>
  <si>
    <t>Hawthorn</t>
  </si>
  <si>
    <t>Melbourne</t>
  </si>
  <si>
    <t>North Melbourne</t>
  </si>
  <si>
    <t>Port Adelaide</t>
  </si>
  <si>
    <t>Richmond</t>
  </si>
  <si>
    <t>St Kilda</t>
  </si>
  <si>
    <t>Sydney</t>
  </si>
  <si>
    <t>West Coast</t>
  </si>
  <si>
    <t>Western Bulldogs</t>
  </si>
  <si>
    <t>LEAGUE TOTAL</t>
  </si>
  <si>
    <t>How to use this workbook</t>
  </si>
  <si>
    <t>1. TRADE a pick:  on the "Picks" sheet, change the Owner cell (blue dropdown). Totals here update instantly.</t>
  </si>
  <si>
    <t>2. UPDATE a finishing position:  on the "Ladder" sheet, edit a team's Low / High. Every pick that team</t>
  </si>
  <si>
    <t xml:space="preserve">     generates re-prices automatically across all owners and rounds.</t>
  </si>
  <si>
    <t>3. Lock a finish:  set Low = High (e.g. 3 and 3) — the band collapses to that exact pick value.</t>
  </si>
  <si>
    <t>4. Different years can differ:  a team's 2026, 2027 and 2028 ranges are independent.</t>
  </si>
  <si>
    <t>5. Watch the Board integrity status (top): all three years must read VALID, or the ranges have distorted board value.</t>
  </si>
  <si>
    <t>Draft Pick Ledger — change ONLY the Owner column when a pick is traded</t>
  </si>
  <si>
    <t>ID</t>
  </si>
  <si>
    <t>Year</t>
  </si>
  <si>
    <t>Round</t>
  </si>
  <si>
    <t>Origin Team</t>
  </si>
  <si>
    <t>Owner</t>
  </si>
  <si>
    <t>Pick (low)</t>
  </si>
  <si>
    <t>Pick (high)</t>
  </si>
  <si>
    <t>Band</t>
  </si>
  <si>
    <t>Raw Value</t>
  </si>
  <si>
    <t>Value (counted)</t>
  </si>
  <si>
    <t>Ladder Projections &amp; Settings — the only place you set where teams finish</t>
  </si>
  <si>
    <t>2027 value multiplier:</t>
  </si>
  <si>
    <t>← applied to all 2027 picks (2026 picks undiscounted)</t>
  </si>
  <si>
    <t>2028 value multiplier:</t>
  </si>
  <si>
    <t>← applied to all 2028 picks</t>
  </si>
  <si>
    <t>Edit each team's projected finishing pick range. Set Low = High when locked. Years are independent.</t>
  </si>
  <si>
    <t>2026 Low</t>
  </si>
  <si>
    <t>2026 High</t>
  </si>
  <si>
    <t>2027 Low</t>
  </si>
  <si>
    <t>2027 High</t>
  </si>
  <si>
    <t>2028 Low</t>
  </si>
  <si>
    <t>2028 High</t>
  </si>
  <si>
    <t>RANGE INTEGRITY CHECK</t>
  </si>
  <si>
    <t>Position</t>
  </si>
  <si>
    <t>2026 board:</t>
  </si>
  <si>
    <t>2027 board:</t>
  </si>
  <si>
    <t>2028 board:</t>
  </si>
  <si>
    <t>Each position must read 1.000 — filled by exactly one team. If a range is too wide/narrow,</t>
  </si>
  <si>
    <t>positions drift off 1.000 and the board gains or loses value. Positions 1–16 = round 1; rounds 2–5 inherit it.</t>
  </si>
  <si>
    <t>Board value each year (fixed):</t>
  </si>
  <si>
    <t>Pick</t>
  </si>
  <si>
    <t>Value</t>
  </si>
  <si>
    <t>Reference: dollar value of each draft pick (1–80).</t>
  </si>
  <si>
    <t>Band values on the Picks sheet = ROUND(AVERAGE of this table across the band,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</si>
</sst>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  <font>
      <b/>
      <sz val="11"/>
      <color rgb="FF1F386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2" xfId="0" applyFont="1" applyBorder="1" applyAlignment="1">
      <alignment horizontal="center"/>
    </xf>
    <xf numFmtId="0" fontId="1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0" fillId="0" borderId="1" xfId="0" applyBorder="1"/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/>
    <xf numFmtId="2" fontId="9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right"/>
    </xf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opLeftCell="B1" zoomScaleNormal="100" workbookViewId="0">
      <pane ySplit="5" topLeftCell="A6" activePane="bottomLeft" state="frozen"/>
      <selection activeCell="B1" sqref="B1"/>
      <selection pane="bottomLeft" activeCell="C15" sqref="C15"/>
    </sheetView>
  </sheetViews>
  <sheetFormatPr defaultColWidth="8.6640625" defaultRowHeight="14.4" x14ac:dyDescent="0.3"/>
  <cols>
    <col min="1" max="1" width="14" customWidth="1"/>
    <col min="2" max="2" width="22" customWidth="1"/>
    <col min="3" max="3" width="13" customWidth="1"/>
    <col min="4" max="4" width="12" customWidth="1"/>
    <col min="5" max="8" width="16" customWidth="1"/>
  </cols>
  <sheetData>
    <row r="1" spans="1:10" ht="17.25" customHeight="1" x14ac:dyDescent="0.3">
      <c r="A1" s="3" t="s">
        <v>0</v>
      </c>
    </row>
    <row r="2" spans="1:10" x14ac:dyDescent="0.3">
      <c r="A2" s="4" t="s">
        <v>1</v>
      </c>
    </row>
    <row r="3" spans="1:10" x14ac:dyDescent="0.3">
      <c r="A3" s="5" t="s">
        <v>2</v>
      </c>
      <c r="B3" s="5" t="str">
        <f>"2026:  "&amp;Ladder!$J$24&amp;"        2027:  "&amp;Ladder!$J$25&amp;"        2028:  "&amp;Ladder!$J$26</f>
        <v>2026:  VALID - value conserved        2027:  VALID - value conserved        2028:  VALID - value conserved</v>
      </c>
    </row>
    <row r="5" spans="1:10" x14ac:dyDescent="0.3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spans="1:10" x14ac:dyDescent="0.3">
      <c r="A6" s="7">
        <f t="shared" ref="A6:A21" si="0">RANK(C6,$C$6:$C$21)</f>
        <v>1</v>
      </c>
      <c r="B6" s="8" t="s">
        <v>13</v>
      </c>
      <c r="C6" s="9">
        <f t="shared" ref="C6:C21" si="1">D6+E6+F6</f>
        <v>23482</v>
      </c>
      <c r="D6" s="9">
        <f>SUMIFS(Picks!$J:$J,Picks!$E:$E,$B6,Picks!$B:$B,2026)</f>
        <v>5998</v>
      </c>
      <c r="E6" s="9">
        <f>SUMIFS(Picks!$J:$J,Picks!$E:$E,$B6,Picks!$B:$B,2027)</f>
        <v>15410</v>
      </c>
      <c r="F6" s="9">
        <f>SUMIFS(Picks!$J:$J,Picks!$E:$E,$B6,Picks!$B:$B,2028)</f>
        <v>2074</v>
      </c>
      <c r="G6" s="7">
        <f>COUNTIFS(Picks!$E:$E,$B6)</f>
        <v>31</v>
      </c>
      <c r="H6" s="7">
        <f>COUNTIFS(Picks!$E:$E,$B6,Picks!$B:$B,2026)</f>
        <v>9</v>
      </c>
      <c r="I6" s="7">
        <f>COUNTIFS(Picks!$E:$E,$B6,Picks!$B:$B,2027)</f>
        <v>16</v>
      </c>
      <c r="J6" s="7">
        <f>COUNTIFS(Picks!$E:$E,$B6,Picks!$B:$B,2028)</f>
        <v>6</v>
      </c>
    </row>
    <row r="7" spans="1:10" x14ac:dyDescent="0.3">
      <c r="A7" s="7">
        <f t="shared" si="0"/>
        <v>14</v>
      </c>
      <c r="B7" s="8" t="s">
        <v>14</v>
      </c>
      <c r="C7" s="9">
        <f t="shared" si="1"/>
        <v>2773</v>
      </c>
      <c r="D7" s="9">
        <f>SUMIFS(Picks!$J:$J,Picks!$E:$E,$B7,Picks!$B:$B,2026)</f>
        <v>213</v>
      </c>
      <c r="E7" s="9">
        <f>SUMIFS(Picks!$J:$J,Picks!$E:$E,$B7,Picks!$B:$B,2027)</f>
        <v>430</v>
      </c>
      <c r="F7" s="9">
        <f>SUMIFS(Picks!$J:$J,Picks!$E:$E,$B7,Picks!$B:$B,2028)</f>
        <v>2130</v>
      </c>
      <c r="G7" s="7">
        <f>COUNTIFS(Picks!$E:$E,$B7)</f>
        <v>10</v>
      </c>
      <c r="H7" s="7">
        <f>COUNTIFS(Picks!$E:$E,$B7,Picks!$B:$B,2026)</f>
        <v>2</v>
      </c>
      <c r="I7" s="7">
        <f>COUNTIFS(Picks!$E:$E,$B7,Picks!$B:$B,2027)</f>
        <v>3</v>
      </c>
      <c r="J7" s="7">
        <f>COUNTIFS(Picks!$E:$E,$B7,Picks!$B:$B,2028)</f>
        <v>5</v>
      </c>
    </row>
    <row r="8" spans="1:10" x14ac:dyDescent="0.3">
      <c r="A8" s="7">
        <f t="shared" si="0"/>
        <v>11</v>
      </c>
      <c r="B8" s="8" t="s">
        <v>15</v>
      </c>
      <c r="C8" s="9">
        <f t="shared" si="1"/>
        <v>3942</v>
      </c>
      <c r="D8" s="9">
        <f>SUMIFS(Picks!$J:$J,Picks!$E:$E,$B8,Picks!$B:$B,2026)</f>
        <v>1412</v>
      </c>
      <c r="E8" s="9">
        <f>SUMIFS(Picks!$J:$J,Picks!$E:$E,$B8,Picks!$B:$B,2027)</f>
        <v>338</v>
      </c>
      <c r="F8" s="9">
        <f>SUMIFS(Picks!$J:$J,Picks!$E:$E,$B8,Picks!$B:$B,2028)</f>
        <v>2192</v>
      </c>
      <c r="G8" s="7">
        <f>COUNTIFS(Picks!$E:$E,$B8)</f>
        <v>16</v>
      </c>
      <c r="H8" s="7">
        <f>COUNTIFS(Picks!$E:$E,$B8,Picks!$B:$B,2026)</f>
        <v>6</v>
      </c>
      <c r="I8" s="7">
        <f>COUNTIFS(Picks!$E:$E,$B8,Picks!$B:$B,2027)</f>
        <v>5</v>
      </c>
      <c r="J8" s="7">
        <f>COUNTIFS(Picks!$E:$E,$B8,Picks!$B:$B,2028)</f>
        <v>5</v>
      </c>
    </row>
    <row r="9" spans="1:10" x14ac:dyDescent="0.3">
      <c r="A9" s="7">
        <f t="shared" si="0"/>
        <v>3</v>
      </c>
      <c r="B9" s="8" t="s">
        <v>16</v>
      </c>
      <c r="C9" s="9">
        <f t="shared" si="1"/>
        <v>14444</v>
      </c>
      <c r="D9" s="9">
        <f>SUMIFS(Picks!$J:$J,Picks!$E:$E,$B9,Picks!$B:$B,2026)</f>
        <v>6617</v>
      </c>
      <c r="E9" s="9">
        <f>SUMIFS(Picks!$J:$J,Picks!$E:$E,$B9,Picks!$B:$B,2027)</f>
        <v>5555</v>
      </c>
      <c r="F9" s="9">
        <f>SUMIFS(Picks!$J:$J,Picks!$E:$E,$B9,Picks!$B:$B,2028)</f>
        <v>2272</v>
      </c>
      <c r="G9" s="7">
        <f>COUNTIFS(Picks!$E:$E,$B9)</f>
        <v>25</v>
      </c>
      <c r="H9" s="7">
        <f>COUNTIFS(Picks!$E:$E,$B9,Picks!$B:$B,2026)</f>
        <v>8</v>
      </c>
      <c r="I9" s="7">
        <f>COUNTIFS(Picks!$E:$E,$B9,Picks!$B:$B,2027)</f>
        <v>12</v>
      </c>
      <c r="J9" s="7">
        <f>COUNTIFS(Picks!$E:$E,$B9,Picks!$B:$B,2028)</f>
        <v>5</v>
      </c>
    </row>
    <row r="10" spans="1:10" x14ac:dyDescent="0.3">
      <c r="A10" s="7">
        <f t="shared" si="0"/>
        <v>6</v>
      </c>
      <c r="B10" s="8" t="s">
        <v>17</v>
      </c>
      <c r="C10" s="9">
        <f t="shared" si="1"/>
        <v>7238</v>
      </c>
      <c r="D10" s="9">
        <f>SUMIFS(Picks!$J:$J,Picks!$E:$E,$B10,Picks!$B:$B,2026)</f>
        <v>593</v>
      </c>
      <c r="E10" s="9">
        <f>SUMIFS(Picks!$J:$J,Picks!$E:$E,$B10,Picks!$B:$B,2027)</f>
        <v>3715</v>
      </c>
      <c r="F10" s="9">
        <f>SUMIFS(Picks!$J:$J,Picks!$E:$E,$B10,Picks!$B:$B,2028)</f>
        <v>2930</v>
      </c>
      <c r="G10" s="7">
        <f>COUNTIFS(Picks!$E:$E,$B10)</f>
        <v>11</v>
      </c>
      <c r="H10" s="7">
        <f>COUNTIFS(Picks!$E:$E,$B10,Picks!$B:$B,2026)</f>
        <v>2</v>
      </c>
      <c r="I10" s="7">
        <f>COUNTIFS(Picks!$E:$E,$B10,Picks!$B:$B,2027)</f>
        <v>4</v>
      </c>
      <c r="J10" s="7">
        <f>COUNTIFS(Picks!$E:$E,$B10,Picks!$B:$B,2028)</f>
        <v>5</v>
      </c>
    </row>
    <row r="11" spans="1:10" x14ac:dyDescent="0.3">
      <c r="A11" s="7">
        <f t="shared" si="0"/>
        <v>5</v>
      </c>
      <c r="B11" s="8" t="s">
        <v>18</v>
      </c>
      <c r="C11" s="9">
        <f t="shared" si="1"/>
        <v>11651</v>
      </c>
      <c r="D11" s="9">
        <f>SUMIFS(Picks!$J:$J,Picks!$E:$E,$B11,Picks!$B:$B,2026)</f>
        <v>5811</v>
      </c>
      <c r="E11" s="9">
        <f>SUMIFS(Picks!$J:$J,Picks!$E:$E,$B11,Picks!$B:$B,2027)</f>
        <v>2349</v>
      </c>
      <c r="F11" s="9">
        <f>SUMIFS(Picks!$J:$J,Picks!$E:$E,$B11,Picks!$B:$B,2028)</f>
        <v>3491</v>
      </c>
      <c r="G11" s="7">
        <f>COUNTIFS(Picks!$E:$E,$B11)</f>
        <v>23</v>
      </c>
      <c r="H11" s="7">
        <f>COUNTIFS(Picks!$E:$E,$B11,Picks!$B:$B,2026)</f>
        <v>12</v>
      </c>
      <c r="I11" s="7">
        <f>COUNTIFS(Picks!$E:$E,$B11,Picks!$B:$B,2027)</f>
        <v>6</v>
      </c>
      <c r="J11" s="7">
        <f>COUNTIFS(Picks!$E:$E,$B11,Picks!$B:$B,2028)</f>
        <v>5</v>
      </c>
    </row>
    <row r="12" spans="1:10" x14ac:dyDescent="0.3">
      <c r="A12" s="7">
        <f t="shared" si="0"/>
        <v>15</v>
      </c>
      <c r="B12" s="8" t="s">
        <v>19</v>
      </c>
      <c r="C12" s="9">
        <f t="shared" si="1"/>
        <v>2227</v>
      </c>
      <c r="D12" s="9">
        <f>SUMIFS(Picks!$J:$J,Picks!$E:$E,$B12,Picks!$B:$B,2026)</f>
        <v>394</v>
      </c>
      <c r="E12" s="9">
        <f>SUMIFS(Picks!$J:$J,Picks!$E:$E,$B12,Picks!$B:$B,2027)</f>
        <v>0</v>
      </c>
      <c r="F12" s="9">
        <f>SUMIFS(Picks!$J:$J,Picks!$E:$E,$B12,Picks!$B:$B,2028)</f>
        <v>1833</v>
      </c>
      <c r="G12" s="7">
        <f>COUNTIFS(Picks!$E:$E,$B12)</f>
        <v>9</v>
      </c>
      <c r="H12" s="7">
        <f>COUNTIFS(Picks!$E:$E,$B12,Picks!$B:$B,2026)</f>
        <v>3</v>
      </c>
      <c r="I12" s="7">
        <f>COUNTIFS(Picks!$E:$E,$B12,Picks!$B:$B,2027)</f>
        <v>1</v>
      </c>
      <c r="J12" s="7">
        <f>COUNTIFS(Picks!$E:$E,$B12,Picks!$B:$B,2028)</f>
        <v>5</v>
      </c>
    </row>
    <row r="13" spans="1:10" x14ac:dyDescent="0.3">
      <c r="A13" s="7">
        <f t="shared" si="0"/>
        <v>2</v>
      </c>
      <c r="B13" s="8" t="s">
        <v>20</v>
      </c>
      <c r="C13" s="9">
        <f t="shared" si="1"/>
        <v>21579</v>
      </c>
      <c r="D13" s="9">
        <f>SUMIFS(Picks!$J:$J,Picks!$E:$E,$B13,Picks!$B:$B,2026)</f>
        <v>12069</v>
      </c>
      <c r="E13" s="9">
        <f>SUMIFS(Picks!$J:$J,Picks!$E:$E,$B13,Picks!$B:$B,2027)</f>
        <v>5545</v>
      </c>
      <c r="F13" s="9">
        <f>SUMIFS(Picks!$J:$J,Picks!$E:$E,$B13,Picks!$B:$B,2028)</f>
        <v>3965</v>
      </c>
      <c r="G13" s="7">
        <f>COUNTIFS(Picks!$E:$E,$B13)</f>
        <v>21</v>
      </c>
      <c r="H13" s="7">
        <f>COUNTIFS(Picks!$E:$E,$B13,Picks!$B:$B,2026)</f>
        <v>9</v>
      </c>
      <c r="I13" s="7">
        <f>COUNTIFS(Picks!$E:$E,$B13,Picks!$B:$B,2027)</f>
        <v>7</v>
      </c>
      <c r="J13" s="7">
        <f>COUNTIFS(Picks!$E:$E,$B13,Picks!$B:$B,2028)</f>
        <v>5</v>
      </c>
    </row>
    <row r="14" spans="1:10" x14ac:dyDescent="0.3">
      <c r="A14" s="7">
        <f t="shared" si="0"/>
        <v>4</v>
      </c>
      <c r="B14" s="8" t="s">
        <v>21</v>
      </c>
      <c r="C14" s="9">
        <f t="shared" si="1"/>
        <v>12619</v>
      </c>
      <c r="D14" s="9">
        <f>SUMIFS(Picks!$J:$J,Picks!$E:$E,$B14,Picks!$B:$B,2026)</f>
        <v>8078</v>
      </c>
      <c r="E14" s="9">
        <f>SUMIFS(Picks!$J:$J,Picks!$E:$E,$B14,Picks!$B:$B,2027)</f>
        <v>1306</v>
      </c>
      <c r="F14" s="9">
        <f>SUMIFS(Picks!$J:$J,Picks!$E:$E,$B14,Picks!$B:$B,2028)</f>
        <v>3235</v>
      </c>
      <c r="G14" s="7">
        <f>COUNTIFS(Picks!$E:$E,$B14)</f>
        <v>16</v>
      </c>
      <c r="H14" s="7">
        <f>COUNTIFS(Picks!$E:$E,$B14,Picks!$B:$B,2026)</f>
        <v>8</v>
      </c>
      <c r="I14" s="7">
        <f>COUNTIFS(Picks!$E:$E,$B14,Picks!$B:$B,2027)</f>
        <v>3</v>
      </c>
      <c r="J14" s="7">
        <f>COUNTIFS(Picks!$E:$E,$B14,Picks!$B:$B,2028)</f>
        <v>5</v>
      </c>
    </row>
    <row r="15" spans="1:10" x14ac:dyDescent="0.3">
      <c r="A15" s="7">
        <f t="shared" si="0"/>
        <v>10</v>
      </c>
      <c r="B15" s="8" t="s">
        <v>22</v>
      </c>
      <c r="C15" s="9">
        <f t="shared" si="1"/>
        <v>3979</v>
      </c>
      <c r="D15" s="9">
        <f>SUMIFS(Picks!$J:$J,Picks!$E:$E,$B15,Picks!$B:$B,2026)</f>
        <v>498</v>
      </c>
      <c r="E15" s="9">
        <f>SUMIFS(Picks!$J:$J,Picks!$E:$E,$B15,Picks!$B:$B,2027)</f>
        <v>1905</v>
      </c>
      <c r="F15" s="9">
        <f>SUMIFS(Picks!$J:$J,Picks!$E:$E,$B15,Picks!$B:$B,2028)</f>
        <v>1576</v>
      </c>
      <c r="G15" s="7">
        <f>COUNTIFS(Picks!$E:$E,$B15)</f>
        <v>13</v>
      </c>
      <c r="H15" s="7">
        <f>COUNTIFS(Picks!$E:$E,$B15,Picks!$B:$B,2026)</f>
        <v>3</v>
      </c>
      <c r="I15" s="7">
        <f>COUNTIFS(Picks!$E:$E,$B15,Picks!$B:$B,2027)</f>
        <v>5</v>
      </c>
      <c r="J15" s="7">
        <f>COUNTIFS(Picks!$E:$E,$B15,Picks!$B:$B,2028)</f>
        <v>5</v>
      </c>
    </row>
    <row r="16" spans="1:10" x14ac:dyDescent="0.3">
      <c r="A16" s="7">
        <f t="shared" si="0"/>
        <v>13</v>
      </c>
      <c r="B16" s="8" t="s">
        <v>23</v>
      </c>
      <c r="C16" s="9">
        <f t="shared" si="1"/>
        <v>2961</v>
      </c>
      <c r="D16" s="9">
        <f>SUMIFS(Picks!$J:$J,Picks!$E:$E,$B16,Picks!$B:$B,2026)</f>
        <v>384</v>
      </c>
      <c r="E16" s="9">
        <f>SUMIFS(Picks!$J:$J,Picks!$E:$E,$B16,Picks!$B:$B,2027)</f>
        <v>543</v>
      </c>
      <c r="F16" s="9">
        <f>SUMIFS(Picks!$J:$J,Picks!$E:$E,$B16,Picks!$B:$B,2028)</f>
        <v>2034</v>
      </c>
      <c r="G16" s="7">
        <f>COUNTIFS(Picks!$E:$E,$B16)</f>
        <v>10</v>
      </c>
      <c r="H16" s="7">
        <f>COUNTIFS(Picks!$E:$E,$B16,Picks!$B:$B,2026)</f>
        <v>2</v>
      </c>
      <c r="I16" s="7">
        <f>COUNTIFS(Picks!$E:$E,$B16,Picks!$B:$B,2027)</f>
        <v>3</v>
      </c>
      <c r="J16" s="7">
        <f>COUNTIFS(Picks!$E:$E,$B16,Picks!$B:$B,2028)</f>
        <v>5</v>
      </c>
    </row>
    <row r="17" spans="1:10" x14ac:dyDescent="0.3">
      <c r="A17" s="7">
        <f t="shared" si="0"/>
        <v>8</v>
      </c>
      <c r="B17" s="8" t="s">
        <v>24</v>
      </c>
      <c r="C17" s="9">
        <f t="shared" si="1"/>
        <v>5210</v>
      </c>
      <c r="D17" s="9">
        <f>SUMIFS(Picks!$J:$J,Picks!$E:$E,$B17,Picks!$B:$B,2026)</f>
        <v>0</v>
      </c>
      <c r="E17" s="9">
        <f>SUMIFS(Picks!$J:$J,Picks!$E:$E,$B17,Picks!$B:$B,2027)</f>
        <v>2739</v>
      </c>
      <c r="F17" s="9">
        <f>SUMIFS(Picks!$J:$J,Picks!$E:$E,$B17,Picks!$B:$B,2028)</f>
        <v>2471</v>
      </c>
      <c r="G17" s="7">
        <f>COUNTIFS(Picks!$E:$E,$B17)</f>
        <v>12</v>
      </c>
      <c r="H17" s="7">
        <f>COUNTIFS(Picks!$E:$E,$B17,Picks!$B:$B,2026)</f>
        <v>3</v>
      </c>
      <c r="I17" s="7">
        <f>COUNTIFS(Picks!$E:$E,$B17,Picks!$B:$B,2027)</f>
        <v>4</v>
      </c>
      <c r="J17" s="7">
        <f>COUNTIFS(Picks!$E:$E,$B17,Picks!$B:$B,2028)</f>
        <v>5</v>
      </c>
    </row>
    <row r="18" spans="1:10" x14ac:dyDescent="0.3">
      <c r="A18" s="7">
        <f t="shared" si="0"/>
        <v>9</v>
      </c>
      <c r="B18" s="8" t="s">
        <v>25</v>
      </c>
      <c r="C18" s="9">
        <f t="shared" si="1"/>
        <v>4923</v>
      </c>
      <c r="D18" s="9">
        <f>SUMIFS(Picks!$J:$J,Picks!$E:$E,$B18,Picks!$B:$B,2026)</f>
        <v>1581</v>
      </c>
      <c r="E18" s="9">
        <f>SUMIFS(Picks!$J:$J,Picks!$E:$E,$B18,Picks!$B:$B,2027)</f>
        <v>1394</v>
      </c>
      <c r="F18" s="9">
        <f>SUMIFS(Picks!$J:$J,Picks!$E:$E,$B18,Picks!$B:$B,2028)</f>
        <v>1948</v>
      </c>
      <c r="G18" s="7">
        <f>COUNTIFS(Picks!$E:$E,$B18)</f>
        <v>12</v>
      </c>
      <c r="H18" s="7">
        <f>COUNTIFS(Picks!$E:$E,$B18,Picks!$B:$B,2026)</f>
        <v>4</v>
      </c>
      <c r="I18" s="7">
        <f>COUNTIFS(Picks!$E:$E,$B18,Picks!$B:$B,2027)</f>
        <v>3</v>
      </c>
      <c r="J18" s="7">
        <f>COUNTIFS(Picks!$E:$E,$B18,Picks!$B:$B,2028)</f>
        <v>5</v>
      </c>
    </row>
    <row r="19" spans="1:10" x14ac:dyDescent="0.3">
      <c r="A19" s="7">
        <f t="shared" si="0"/>
        <v>7</v>
      </c>
      <c r="B19" s="8" t="s">
        <v>26</v>
      </c>
      <c r="C19" s="9">
        <f t="shared" si="1"/>
        <v>5831</v>
      </c>
      <c r="D19" s="9">
        <f>SUMIFS(Picks!$J:$J,Picks!$E:$E,$B19,Picks!$B:$B,2026)</f>
        <v>3070</v>
      </c>
      <c r="E19" s="9">
        <f>SUMIFS(Picks!$J:$J,Picks!$E:$E,$B19,Picks!$B:$B,2027)</f>
        <v>1062</v>
      </c>
      <c r="F19" s="9">
        <f>SUMIFS(Picks!$J:$J,Picks!$E:$E,$B19,Picks!$B:$B,2028)</f>
        <v>1699</v>
      </c>
      <c r="G19" s="7">
        <f>COUNTIFS(Picks!$E:$E,$B19)</f>
        <v>13</v>
      </c>
      <c r="H19" s="7">
        <f>COUNTIFS(Picks!$E:$E,$B19,Picks!$B:$B,2026)</f>
        <v>3</v>
      </c>
      <c r="I19" s="7">
        <f>COUNTIFS(Picks!$E:$E,$B19,Picks!$B:$B,2027)</f>
        <v>5</v>
      </c>
      <c r="J19" s="7">
        <f>COUNTIFS(Picks!$E:$E,$B19,Picks!$B:$B,2028)</f>
        <v>5</v>
      </c>
    </row>
    <row r="20" spans="1:10" x14ac:dyDescent="0.3">
      <c r="A20" s="7">
        <f t="shared" si="0"/>
        <v>16</v>
      </c>
      <c r="B20" s="8" t="s">
        <v>27</v>
      </c>
      <c r="C20" s="9">
        <f t="shared" si="1"/>
        <v>1250</v>
      </c>
      <c r="D20" s="9">
        <f>SUMIFS(Picks!$J:$J,Picks!$E:$E,$B20,Picks!$B:$B,2026)</f>
        <v>0</v>
      </c>
      <c r="E20" s="9">
        <f>SUMIFS(Picks!$J:$J,Picks!$E:$E,$B20,Picks!$B:$B,2027)</f>
        <v>0</v>
      </c>
      <c r="F20" s="9">
        <f>SUMIFS(Picks!$J:$J,Picks!$E:$E,$B20,Picks!$B:$B,2028)</f>
        <v>1250</v>
      </c>
      <c r="G20" s="7">
        <f>COUNTIFS(Picks!$E:$E,$B20)</f>
        <v>8</v>
      </c>
      <c r="H20" s="7">
        <f>COUNTIFS(Picks!$E:$E,$B20,Picks!$B:$B,2026)</f>
        <v>3</v>
      </c>
      <c r="I20" s="7">
        <f>COUNTIFS(Picks!$E:$E,$B20,Picks!$B:$B,2027)</f>
        <v>1</v>
      </c>
      <c r="J20" s="7">
        <f>COUNTIFS(Picks!$E:$E,$B20,Picks!$B:$B,2028)</f>
        <v>4</v>
      </c>
    </row>
    <row r="21" spans="1:10" x14ac:dyDescent="0.3">
      <c r="A21" s="7">
        <f t="shared" si="0"/>
        <v>12</v>
      </c>
      <c r="B21" s="8" t="s">
        <v>28</v>
      </c>
      <c r="C21" s="9">
        <f t="shared" si="1"/>
        <v>3424</v>
      </c>
      <c r="D21" s="9">
        <f>SUMIFS(Picks!$J:$J,Picks!$E:$E,$B21,Picks!$B:$B,2026)</f>
        <v>514</v>
      </c>
      <c r="E21" s="9">
        <f>SUMIFS(Picks!$J:$J,Picks!$E:$E,$B21,Picks!$B:$B,2027)</f>
        <v>223</v>
      </c>
      <c r="F21" s="9">
        <f>SUMIFS(Picks!$J:$J,Picks!$E:$E,$B21,Picks!$B:$B,2028)</f>
        <v>2687</v>
      </c>
      <c r="G21" s="7">
        <f>COUNTIFS(Picks!$E:$E,$B21)</f>
        <v>10</v>
      </c>
      <c r="H21" s="7">
        <f>COUNTIFS(Picks!$E:$E,$B21,Picks!$B:$B,2026)</f>
        <v>3</v>
      </c>
      <c r="I21" s="7">
        <f>COUNTIFS(Picks!$E:$E,$B21,Picks!$B:$B,2027)</f>
        <v>2</v>
      </c>
      <c r="J21" s="7">
        <f>COUNTIFS(Picks!$E:$E,$B21,Picks!$B:$B,2028)</f>
        <v>5</v>
      </c>
    </row>
    <row r="22" spans="1:10" x14ac:dyDescent="0.3">
      <c r="A22" s="10"/>
      <c r="B22" s="5" t="s">
        <v>29</v>
      </c>
      <c r="C22" s="11">
        <f t="shared" ref="C22:J22" si="2">SUM(C6:C21)</f>
        <v>127533</v>
      </c>
      <c r="D22" s="11">
        <f t="shared" si="2"/>
        <v>47232</v>
      </c>
      <c r="E22" s="11">
        <f t="shared" si="2"/>
        <v>42514</v>
      </c>
      <c r="F22" s="11">
        <f t="shared" si="2"/>
        <v>37787</v>
      </c>
      <c r="G22" s="12">
        <f t="shared" si="2"/>
        <v>240</v>
      </c>
      <c r="H22" s="12">
        <f t="shared" si="2"/>
        <v>80</v>
      </c>
      <c r="I22" s="12">
        <f t="shared" si="2"/>
        <v>80</v>
      </c>
      <c r="J22" s="12">
        <f t="shared" si="2"/>
        <v>80</v>
      </c>
    </row>
    <row r="24" spans="1:10" x14ac:dyDescent="0.3">
      <c r="B24" s="13" t="s">
        <v>30</v>
      </c>
    </row>
    <row r="25" spans="1:10" x14ac:dyDescent="0.3">
      <c r="B25" s="14" t="s">
        <v>31</v>
      </c>
    </row>
    <row r="26" spans="1:10" x14ac:dyDescent="0.3">
      <c r="B26" s="14" t="s">
        <v>32</v>
      </c>
    </row>
    <row r="27" spans="1:10" x14ac:dyDescent="0.3">
      <c r="B27" s="14" t="s">
        <v>33</v>
      </c>
    </row>
    <row r="28" spans="1:10" x14ac:dyDescent="0.3">
      <c r="B28" s="14" t="s">
        <v>34</v>
      </c>
    </row>
    <row r="29" spans="1:10" x14ac:dyDescent="0.3">
      <c r="B29" s="14" t="s">
        <v>35</v>
      </c>
    </row>
    <row r="30" spans="1:10" x14ac:dyDescent="0.3">
      <c r="B30" s="14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2"/>
  <sheetViews>
    <sheetView showGridLines="0" zoomScaleNormal="100" workbookViewId="0">
      <pane ySplit="2" topLeftCell="A3" activePane="bottomLeft" state="frozen"/>
      <selection pane="bottomLeft" activeCell="L230" sqref="L230"/>
    </sheetView>
  </sheetViews>
  <sheetFormatPr defaultColWidth="8.6640625" defaultRowHeight="14.4" x14ac:dyDescent="0.3"/>
  <cols>
    <col min="1" max="1" width="5" customWidth="1"/>
    <col min="2" max="2" width="6" customWidth="1"/>
    <col min="3" max="3" width="7" customWidth="1"/>
    <col min="4" max="5" width="16" customWidth="1"/>
    <col min="6" max="8" width="9" customWidth="1"/>
    <col min="9" max="9" width="11" customWidth="1"/>
    <col min="10" max="10" width="14" customWidth="1"/>
  </cols>
  <sheetData>
    <row r="1" spans="1:10" ht="17.25" customHeight="1" x14ac:dyDescent="0.3">
      <c r="A1" s="3" t="s">
        <v>37</v>
      </c>
    </row>
    <row r="2" spans="1:10" x14ac:dyDescent="0.3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</row>
    <row r="3" spans="1:10" x14ac:dyDescent="0.3">
      <c r="A3" s="7">
        <v>1</v>
      </c>
      <c r="B3" s="7">
        <v>2026</v>
      </c>
      <c r="C3" s="7">
        <v>1</v>
      </c>
      <c r="D3" s="8" t="s">
        <v>13</v>
      </c>
      <c r="E3" s="15" t="s">
        <v>16</v>
      </c>
      <c r="F3" s="7">
        <f>INDEX(Ladder!$B$6:$G$21,MATCH($D3,Ladder!$A$6:$A$21,0),IF($B3=2026,1,IF($B3=2027,3,5)))+($C3-1)*16</f>
        <v>10</v>
      </c>
      <c r="G3" s="7">
        <f>INDEX(Ladder!$B$6:$G$21,MATCH($D3,Ladder!$A$6:$A$21,0),IF($B3=2026,2,IF($B3=2027,4,6)))+($C3-1)*16</f>
        <v>10</v>
      </c>
      <c r="H3" s="7" t="str">
        <f t="shared" ref="H3:H66" si="0">IF($F3=$G3,"#"&amp;$F3,"#"&amp;$F3&amp;"-"&amp;$G3)</f>
        <v>#10</v>
      </c>
      <c r="I3" s="9">
        <f>ROUND(AVERAGEIFS('Pick Values'!$B$2:$B$81,'Pick Values'!$A$2:$A$81,"&gt;="&amp;$F3,'Pick Values'!$A$2:$A$81,"&lt;="&amp;$G3),0)</f>
        <v>1300</v>
      </c>
      <c r="J3" s="9">
        <f>IF($B3=2027,ROUND($I3*Ladder!$B$2,0),IF($B3=2028,ROUND($I3*Ladder!$B$3,0),$I3))</f>
        <v>1300</v>
      </c>
    </row>
    <row r="4" spans="1:10" x14ac:dyDescent="0.3">
      <c r="A4" s="7">
        <v>2</v>
      </c>
      <c r="B4" s="7">
        <v>2026</v>
      </c>
      <c r="C4" s="7">
        <v>2</v>
      </c>
      <c r="D4" s="8" t="s">
        <v>13</v>
      </c>
      <c r="E4" s="15" t="s">
        <v>21</v>
      </c>
      <c r="F4" s="7">
        <f>INDEX(Ladder!$B$6:$G$21,MATCH($D4,Ladder!$A$6:$A$21,0),IF($B4=2026,1,IF($B4=2027,3,5)))+($C4-1)*16</f>
        <v>26</v>
      </c>
      <c r="G4" s="7">
        <f>INDEX(Ladder!$B$6:$G$21,MATCH($D4,Ladder!$A$6:$A$21,0),IF($B4=2026,2,IF($B4=2027,4,6)))+($C4-1)*16</f>
        <v>26</v>
      </c>
      <c r="H4" s="7" t="str">
        <f t="shared" si="0"/>
        <v>#26</v>
      </c>
      <c r="I4" s="9">
        <f>ROUND(AVERAGEIFS('Pick Values'!$B$2:$B$81,'Pick Values'!$A$2:$A$81,"&gt;="&amp;$F4,'Pick Values'!$A$2:$A$81,"&lt;="&amp;$G4),0)</f>
        <v>656</v>
      </c>
      <c r="J4" s="9">
        <f>IF($B4=2027,ROUND($I4*Ladder!$B$2,0),IF($B4=2028,ROUND($I4*Ladder!$B$3,0),$I4))</f>
        <v>656</v>
      </c>
    </row>
    <row r="5" spans="1:10" x14ac:dyDescent="0.3">
      <c r="A5" s="7">
        <v>3</v>
      </c>
      <c r="B5" s="7">
        <v>2026</v>
      </c>
      <c r="C5" s="7">
        <v>3</v>
      </c>
      <c r="D5" s="8" t="s">
        <v>13</v>
      </c>
      <c r="E5" s="15" t="s">
        <v>16</v>
      </c>
      <c r="F5" s="7">
        <f>INDEX(Ladder!$B$6:$G$21,MATCH($D5,Ladder!$A$6:$A$21,0),IF($B5=2026,1,IF($B5=2027,3,5)))+($C5-1)*16</f>
        <v>42</v>
      </c>
      <c r="G5" s="7">
        <f>INDEX(Ladder!$B$6:$G$21,MATCH($D5,Ladder!$A$6:$A$21,0),IF($B5=2026,2,IF($B5=2027,4,6)))+($C5-1)*16</f>
        <v>42</v>
      </c>
      <c r="H5" s="7" t="str">
        <f t="shared" si="0"/>
        <v>#42</v>
      </c>
      <c r="I5" s="9">
        <f>ROUND(AVERAGEIFS('Pick Values'!$B$2:$B$81,'Pick Values'!$A$2:$A$81,"&gt;="&amp;$F5,'Pick Values'!$A$2:$A$81,"&lt;="&amp;$G5),0)</f>
        <v>432</v>
      </c>
      <c r="J5" s="9">
        <f>IF($B5=2027,ROUND($I5*Ladder!$B$2,0),IF($B5=2028,ROUND($I5*Ladder!$B$3,0),$I5))</f>
        <v>432</v>
      </c>
    </row>
    <row r="6" spans="1:10" x14ac:dyDescent="0.3">
      <c r="A6" s="7">
        <v>4</v>
      </c>
      <c r="B6" s="7">
        <v>2026</v>
      </c>
      <c r="C6" s="7">
        <v>4</v>
      </c>
      <c r="D6" s="8" t="s">
        <v>13</v>
      </c>
      <c r="E6" s="15" t="s">
        <v>19</v>
      </c>
      <c r="F6" s="7">
        <f>INDEX(Ladder!$B$6:$G$21,MATCH($D6,Ladder!$A$6:$A$21,0),IF($B6=2026,1,IF($B6=2027,3,5)))+($C6-1)*16</f>
        <v>58</v>
      </c>
      <c r="G6" s="7">
        <f>INDEX(Ladder!$B$6:$G$21,MATCH($D6,Ladder!$A$6:$A$21,0),IF($B6=2026,2,IF($B6=2027,4,6)))+($C6-1)*16</f>
        <v>58</v>
      </c>
      <c r="H6" s="7" t="str">
        <f t="shared" si="0"/>
        <v>#58</v>
      </c>
      <c r="I6" s="9">
        <f>ROUND(AVERAGEIFS('Pick Values'!$B$2:$B$81,'Pick Values'!$A$2:$A$81,"&gt;="&amp;$F6,'Pick Values'!$A$2:$A$81,"&lt;="&amp;$G6),0)</f>
        <v>204</v>
      </c>
      <c r="J6" s="9">
        <f>IF($B6=2027,ROUND($I6*Ladder!$B$2,0),IF($B6=2028,ROUND($I6*Ladder!$B$3,0),$I6))</f>
        <v>204</v>
      </c>
    </row>
    <row r="7" spans="1:10" x14ac:dyDescent="0.3">
      <c r="A7" s="7">
        <v>5</v>
      </c>
      <c r="B7" s="7">
        <v>2026</v>
      </c>
      <c r="C7" s="7">
        <v>5</v>
      </c>
      <c r="D7" s="8" t="s">
        <v>13</v>
      </c>
      <c r="E7" s="15" t="s">
        <v>27</v>
      </c>
      <c r="F7" s="7">
        <f>INDEX(Ladder!$B$6:$G$21,MATCH($D7,Ladder!$A$6:$A$21,0),IF($B7=2026,1,IF($B7=2027,3,5)))+($C7-1)*16</f>
        <v>74</v>
      </c>
      <c r="G7" s="7">
        <f>INDEX(Ladder!$B$6:$G$21,MATCH($D7,Ladder!$A$6:$A$21,0),IF($B7=2026,2,IF($B7=2027,4,6)))+($C7-1)*16</f>
        <v>74</v>
      </c>
      <c r="H7" s="7" t="str">
        <f t="shared" si="0"/>
        <v>#74</v>
      </c>
      <c r="I7" s="9">
        <f>ROUND(AVERAGEIFS('Pick Values'!$B$2:$B$81,'Pick Values'!$A$2:$A$81,"&gt;="&amp;$F7,'Pick Values'!$A$2:$A$81,"&lt;="&amp;$G7),0)</f>
        <v>0</v>
      </c>
      <c r="J7" s="9">
        <f>IF($B7=2027,ROUND($I7*Ladder!$B$2,0),IF($B7=2028,ROUND($I7*Ladder!$B$3,0),$I7))</f>
        <v>0</v>
      </c>
    </row>
    <row r="8" spans="1:10" x14ac:dyDescent="0.3">
      <c r="A8" s="7">
        <v>6</v>
      </c>
      <c r="B8" s="7">
        <v>2027</v>
      </c>
      <c r="C8" s="7">
        <v>1</v>
      </c>
      <c r="D8" s="8" t="s">
        <v>13</v>
      </c>
      <c r="E8" s="15" t="s">
        <v>13</v>
      </c>
      <c r="F8" s="7">
        <f>INDEX(Ladder!$B$6:$G$21,MATCH($D8,Ladder!$A$6:$A$21,0),IF($B8=2026,1,IF($B8=2027,3,5)))+($C8-1)*16</f>
        <v>10</v>
      </c>
      <c r="G8" s="7">
        <f>INDEX(Ladder!$B$6:$G$21,MATCH($D8,Ladder!$A$6:$A$21,0),IF($B8=2026,2,IF($B8=2027,4,6)))+($C8-1)*16</f>
        <v>10</v>
      </c>
      <c r="H8" s="7" t="str">
        <f t="shared" si="0"/>
        <v>#10</v>
      </c>
      <c r="I8" s="9">
        <f>ROUND(AVERAGEIFS('Pick Values'!$B$2:$B$81,'Pick Values'!$A$2:$A$81,"&gt;="&amp;$F8,'Pick Values'!$A$2:$A$81,"&lt;="&amp;$G8),0)</f>
        <v>1300</v>
      </c>
      <c r="J8" s="9">
        <f>IF($B8=2027,ROUND($I8*Ladder!$B$2,0),IF($B8=2028,ROUND($I8*Ladder!$B$3,0),$I8))</f>
        <v>1170</v>
      </c>
    </row>
    <row r="9" spans="1:10" x14ac:dyDescent="0.3">
      <c r="A9" s="7">
        <v>7</v>
      </c>
      <c r="B9" s="7">
        <v>2027</v>
      </c>
      <c r="C9" s="7">
        <v>2</v>
      </c>
      <c r="D9" s="8" t="s">
        <v>13</v>
      </c>
      <c r="E9" s="15" t="s">
        <v>20</v>
      </c>
      <c r="F9" s="7">
        <f>INDEX(Ladder!$B$6:$G$21,MATCH($D9,Ladder!$A$6:$A$21,0),IF($B9=2026,1,IF($B9=2027,3,5)))+($C9-1)*16</f>
        <v>26</v>
      </c>
      <c r="G9" s="7">
        <f>INDEX(Ladder!$B$6:$G$21,MATCH($D9,Ladder!$A$6:$A$21,0),IF($B9=2026,2,IF($B9=2027,4,6)))+($C9-1)*16</f>
        <v>26</v>
      </c>
      <c r="H9" s="7" t="str">
        <f t="shared" si="0"/>
        <v>#26</v>
      </c>
      <c r="I9" s="9">
        <f>ROUND(AVERAGEIFS('Pick Values'!$B$2:$B$81,'Pick Values'!$A$2:$A$81,"&gt;="&amp;$F9,'Pick Values'!$A$2:$A$81,"&lt;="&amp;$G9),0)</f>
        <v>656</v>
      </c>
      <c r="J9" s="9">
        <f>IF($B9=2027,ROUND($I9*Ladder!$B$2,0),IF($B9=2028,ROUND($I9*Ladder!$B$3,0),$I9))</f>
        <v>590</v>
      </c>
    </row>
    <row r="10" spans="1:10" x14ac:dyDescent="0.3">
      <c r="A10" s="7">
        <v>8</v>
      </c>
      <c r="B10" s="7">
        <v>2027</v>
      </c>
      <c r="C10" s="7">
        <v>3</v>
      </c>
      <c r="D10" s="8" t="s">
        <v>13</v>
      </c>
      <c r="E10" s="15" t="s">
        <v>13</v>
      </c>
      <c r="F10" s="7">
        <f>INDEX(Ladder!$B$6:$G$21,MATCH($D10,Ladder!$A$6:$A$21,0),IF($B10=2026,1,IF($B10=2027,3,5)))+($C10-1)*16</f>
        <v>42</v>
      </c>
      <c r="G10" s="7">
        <f>INDEX(Ladder!$B$6:$G$21,MATCH($D10,Ladder!$A$6:$A$21,0),IF($B10=2026,2,IF($B10=2027,4,6)))+($C10-1)*16</f>
        <v>42</v>
      </c>
      <c r="H10" s="7" t="str">
        <f t="shared" si="0"/>
        <v>#42</v>
      </c>
      <c r="I10" s="9">
        <f>ROUND(AVERAGEIFS('Pick Values'!$B$2:$B$81,'Pick Values'!$A$2:$A$81,"&gt;="&amp;$F10,'Pick Values'!$A$2:$A$81,"&lt;="&amp;$G10),0)</f>
        <v>432</v>
      </c>
      <c r="J10" s="9">
        <f>IF($B10=2027,ROUND($I10*Ladder!$B$2,0),IF($B10=2028,ROUND($I10*Ladder!$B$3,0),$I10))</f>
        <v>389</v>
      </c>
    </row>
    <row r="11" spans="1:10" x14ac:dyDescent="0.3">
      <c r="A11" s="7">
        <v>9</v>
      </c>
      <c r="B11" s="7">
        <v>2027</v>
      </c>
      <c r="C11" s="7">
        <v>4</v>
      </c>
      <c r="D11" s="8" t="s">
        <v>13</v>
      </c>
      <c r="E11" s="15" t="s">
        <v>18</v>
      </c>
      <c r="F11" s="7">
        <f>INDEX(Ladder!$B$6:$G$21,MATCH($D11,Ladder!$A$6:$A$21,0),IF($B11=2026,1,IF($B11=2027,3,5)))+($C11-1)*16</f>
        <v>58</v>
      </c>
      <c r="G11" s="7">
        <f>INDEX(Ladder!$B$6:$G$21,MATCH($D11,Ladder!$A$6:$A$21,0),IF($B11=2026,2,IF($B11=2027,4,6)))+($C11-1)*16</f>
        <v>58</v>
      </c>
      <c r="H11" s="7" t="str">
        <f t="shared" si="0"/>
        <v>#58</v>
      </c>
      <c r="I11" s="9">
        <f>ROUND(AVERAGEIFS('Pick Values'!$B$2:$B$81,'Pick Values'!$A$2:$A$81,"&gt;="&amp;$F11,'Pick Values'!$A$2:$A$81,"&lt;="&amp;$G11),0)</f>
        <v>204</v>
      </c>
      <c r="J11" s="9">
        <f>IF($B11=2027,ROUND($I11*Ladder!$B$2,0),IF($B11=2028,ROUND($I11*Ladder!$B$3,0),$I11))</f>
        <v>184</v>
      </c>
    </row>
    <row r="12" spans="1:10" x14ac:dyDescent="0.3">
      <c r="A12" s="7">
        <v>10</v>
      </c>
      <c r="B12" s="7">
        <v>2027</v>
      </c>
      <c r="C12" s="7">
        <v>5</v>
      </c>
      <c r="D12" s="8" t="s">
        <v>13</v>
      </c>
      <c r="E12" s="15" t="s">
        <v>13</v>
      </c>
      <c r="F12" s="7">
        <f>INDEX(Ladder!$B$6:$G$21,MATCH($D12,Ladder!$A$6:$A$21,0),IF($B12=2026,1,IF($B12=2027,3,5)))+($C12-1)*16</f>
        <v>74</v>
      </c>
      <c r="G12" s="7">
        <f>INDEX(Ladder!$B$6:$G$21,MATCH($D12,Ladder!$A$6:$A$21,0),IF($B12=2026,2,IF($B12=2027,4,6)))+($C12-1)*16</f>
        <v>74</v>
      </c>
      <c r="H12" s="7" t="str">
        <f t="shared" si="0"/>
        <v>#74</v>
      </c>
      <c r="I12" s="9">
        <f>ROUND(AVERAGEIFS('Pick Values'!$B$2:$B$81,'Pick Values'!$A$2:$A$81,"&gt;="&amp;$F12,'Pick Values'!$A$2:$A$81,"&lt;="&amp;$G12),0)</f>
        <v>0</v>
      </c>
      <c r="J12" s="9">
        <f>IF($B12=2027,ROUND($I12*Ladder!$B$2,0),IF($B12=2028,ROUND($I12*Ladder!$B$3,0),$I12))</f>
        <v>0</v>
      </c>
    </row>
    <row r="13" spans="1:10" x14ac:dyDescent="0.3">
      <c r="A13" s="7">
        <v>11</v>
      </c>
      <c r="B13" s="7">
        <v>2026</v>
      </c>
      <c r="C13" s="7">
        <v>1</v>
      </c>
      <c r="D13" s="8" t="s">
        <v>14</v>
      </c>
      <c r="E13" s="15" t="s">
        <v>20</v>
      </c>
      <c r="F13" s="7">
        <f>INDEX(Ladder!$B$6:$G$21,MATCH($D13,Ladder!$A$6:$A$21,0),IF($B13=2026,1,IF($B13=2027,3,5)))+($C13-1)*16</f>
        <v>9</v>
      </c>
      <c r="G13" s="7">
        <f>INDEX(Ladder!$B$6:$G$21,MATCH($D13,Ladder!$A$6:$A$21,0),IF($B13=2026,2,IF($B13=2027,4,6)))+($C13-1)*16</f>
        <v>9</v>
      </c>
      <c r="H13" s="7" t="str">
        <f t="shared" si="0"/>
        <v>#9</v>
      </c>
      <c r="I13" s="9">
        <f>ROUND(AVERAGEIFS('Pick Values'!$B$2:$B$81,'Pick Values'!$A$2:$A$81,"&gt;="&amp;$F13,'Pick Values'!$A$2:$A$81,"&lt;="&amp;$G13),0)</f>
        <v>1322</v>
      </c>
      <c r="J13" s="9">
        <f>IF($B13=2027,ROUND($I13*Ladder!$B$2,0),IF($B13=2028,ROUND($I13*Ladder!$B$3,0),$I13))</f>
        <v>1322</v>
      </c>
    </row>
    <row r="14" spans="1:10" x14ac:dyDescent="0.3">
      <c r="A14" s="7">
        <v>12</v>
      </c>
      <c r="B14" s="7">
        <v>2026</v>
      </c>
      <c r="C14" s="7">
        <v>2</v>
      </c>
      <c r="D14" s="8" t="s">
        <v>14</v>
      </c>
      <c r="E14" s="15" t="s">
        <v>18</v>
      </c>
      <c r="F14" s="7">
        <f>INDEX(Ladder!$B$6:$G$21,MATCH($D14,Ladder!$A$6:$A$21,0),IF($B14=2026,1,IF($B14=2027,3,5)))+($C14-1)*16</f>
        <v>25</v>
      </c>
      <c r="G14" s="7">
        <f>INDEX(Ladder!$B$6:$G$21,MATCH($D14,Ladder!$A$6:$A$21,0),IF($B14=2026,2,IF($B14=2027,4,6)))+($C14-1)*16</f>
        <v>25</v>
      </c>
      <c r="H14" s="7" t="str">
        <f t="shared" si="0"/>
        <v>#25</v>
      </c>
      <c r="I14" s="9">
        <f>ROUND(AVERAGEIFS('Pick Values'!$B$2:$B$81,'Pick Values'!$A$2:$A$81,"&gt;="&amp;$F14,'Pick Values'!$A$2:$A$81,"&lt;="&amp;$G14),0)</f>
        <v>675</v>
      </c>
      <c r="J14" s="9">
        <f>IF($B14=2027,ROUND($I14*Ladder!$B$2,0),IF($B14=2028,ROUND($I14*Ladder!$B$3,0),$I14))</f>
        <v>675</v>
      </c>
    </row>
    <row r="15" spans="1:10" x14ac:dyDescent="0.3">
      <c r="A15" s="7">
        <v>13</v>
      </c>
      <c r="B15" s="7">
        <v>2026</v>
      </c>
      <c r="C15" s="7">
        <v>3</v>
      </c>
      <c r="D15" s="8" t="s">
        <v>14</v>
      </c>
      <c r="E15" s="15" t="s">
        <v>18</v>
      </c>
      <c r="F15" s="7">
        <f>INDEX(Ladder!$B$6:$G$21,MATCH($D15,Ladder!$A$6:$A$21,0),IF($B15=2026,1,IF($B15=2027,3,5)))+($C15-1)*16</f>
        <v>41</v>
      </c>
      <c r="G15" s="7">
        <f>INDEX(Ladder!$B$6:$G$21,MATCH($D15,Ladder!$A$6:$A$21,0),IF($B15=2026,2,IF($B15=2027,4,6)))+($C15-1)*16</f>
        <v>41</v>
      </c>
      <c r="H15" s="7" t="str">
        <f t="shared" si="0"/>
        <v>#41</v>
      </c>
      <c r="I15" s="9">
        <f>ROUND(AVERAGEIFS('Pick Values'!$B$2:$B$81,'Pick Values'!$A$2:$A$81,"&gt;="&amp;$F15,'Pick Values'!$A$2:$A$81,"&lt;="&amp;$G15),0)</f>
        <v>453</v>
      </c>
      <c r="J15" s="9">
        <f>IF($B15=2027,ROUND($I15*Ladder!$B$2,0),IF($B15=2028,ROUND($I15*Ladder!$B$3,0),$I15))</f>
        <v>453</v>
      </c>
    </row>
    <row r="16" spans="1:10" x14ac:dyDescent="0.3">
      <c r="A16" s="7">
        <v>14</v>
      </c>
      <c r="B16" s="7">
        <v>2026</v>
      </c>
      <c r="C16" s="7">
        <v>4</v>
      </c>
      <c r="D16" s="8" t="s">
        <v>14</v>
      </c>
      <c r="E16" s="15" t="s">
        <v>14</v>
      </c>
      <c r="F16" s="7">
        <f>INDEX(Ladder!$B$6:$G$21,MATCH($D16,Ladder!$A$6:$A$21,0),IF($B16=2026,1,IF($B16=2027,3,5)))+($C16-1)*16</f>
        <v>57</v>
      </c>
      <c r="G16" s="7">
        <f>INDEX(Ladder!$B$6:$G$21,MATCH($D16,Ladder!$A$6:$A$21,0),IF($B16=2026,2,IF($B16=2027,4,6)))+($C16-1)*16</f>
        <v>57</v>
      </c>
      <c r="H16" s="7" t="str">
        <f t="shared" si="0"/>
        <v>#57</v>
      </c>
      <c r="I16" s="9">
        <f>ROUND(AVERAGEIFS('Pick Values'!$B$2:$B$81,'Pick Values'!$A$2:$A$81,"&gt;="&amp;$F16,'Pick Values'!$A$2:$A$81,"&lt;="&amp;$G16),0)</f>
        <v>213</v>
      </c>
      <c r="J16" s="9">
        <f>IF($B16=2027,ROUND($I16*Ladder!$B$2,0),IF($B16=2028,ROUND($I16*Ladder!$B$3,0),$I16))</f>
        <v>213</v>
      </c>
    </row>
    <row r="17" spans="1:10" x14ac:dyDescent="0.3">
      <c r="A17" s="7">
        <v>15</v>
      </c>
      <c r="B17" s="7">
        <v>2026</v>
      </c>
      <c r="C17" s="7">
        <v>5</v>
      </c>
      <c r="D17" s="8" t="s">
        <v>14</v>
      </c>
      <c r="E17" s="15" t="s">
        <v>14</v>
      </c>
      <c r="F17" s="7">
        <f>INDEX(Ladder!$B$6:$G$21,MATCH($D17,Ladder!$A$6:$A$21,0),IF($B17=2026,1,IF($B17=2027,3,5)))+($C17-1)*16</f>
        <v>73</v>
      </c>
      <c r="G17" s="7">
        <f>INDEX(Ladder!$B$6:$G$21,MATCH($D17,Ladder!$A$6:$A$21,0),IF($B17=2026,2,IF($B17=2027,4,6)))+($C17-1)*16</f>
        <v>73</v>
      </c>
      <c r="H17" s="7" t="str">
        <f t="shared" si="0"/>
        <v>#73</v>
      </c>
      <c r="I17" s="9">
        <f>ROUND(AVERAGEIFS('Pick Values'!$B$2:$B$81,'Pick Values'!$A$2:$A$81,"&gt;="&amp;$F17,'Pick Values'!$A$2:$A$81,"&lt;="&amp;$G17),0)</f>
        <v>0</v>
      </c>
      <c r="J17" s="9">
        <f>IF($B17=2027,ROUND($I17*Ladder!$B$2,0),IF($B17=2028,ROUND($I17*Ladder!$B$3,0),$I17))</f>
        <v>0</v>
      </c>
    </row>
    <row r="18" spans="1:10" x14ac:dyDescent="0.3">
      <c r="A18" s="7">
        <v>16</v>
      </c>
      <c r="B18" s="7">
        <v>2027</v>
      </c>
      <c r="C18" s="7">
        <v>1</v>
      </c>
      <c r="D18" s="8" t="s">
        <v>14</v>
      </c>
      <c r="E18" s="15" t="s">
        <v>13</v>
      </c>
      <c r="F18" s="7">
        <f>INDEX(Ladder!$B$6:$G$21,MATCH($D18,Ladder!$A$6:$A$21,0),IF($B18=2026,1,IF($B18=2027,3,5)))+($C18-1)*16</f>
        <v>9</v>
      </c>
      <c r="G18" s="7">
        <f>INDEX(Ladder!$B$6:$G$21,MATCH($D18,Ladder!$A$6:$A$21,0),IF($B18=2026,2,IF($B18=2027,4,6)))+($C18-1)*16</f>
        <v>9</v>
      </c>
      <c r="H18" s="7" t="str">
        <f t="shared" si="0"/>
        <v>#9</v>
      </c>
      <c r="I18" s="9">
        <f>ROUND(AVERAGEIFS('Pick Values'!$B$2:$B$81,'Pick Values'!$A$2:$A$81,"&gt;="&amp;$F18,'Pick Values'!$A$2:$A$81,"&lt;="&amp;$G18),0)</f>
        <v>1322</v>
      </c>
      <c r="J18" s="9">
        <f>IF($B18=2027,ROUND($I18*Ladder!$B$2,0),IF($B18=2028,ROUND($I18*Ladder!$B$3,0),$I18))</f>
        <v>1190</v>
      </c>
    </row>
    <row r="19" spans="1:10" x14ac:dyDescent="0.3">
      <c r="A19" s="7">
        <v>17</v>
      </c>
      <c r="B19" s="7">
        <v>2027</v>
      </c>
      <c r="C19" s="7">
        <v>2</v>
      </c>
      <c r="D19" s="8" t="s">
        <v>14</v>
      </c>
      <c r="E19" s="15" t="s">
        <v>13</v>
      </c>
      <c r="F19" s="7">
        <f>INDEX(Ladder!$B$6:$G$21,MATCH($D19,Ladder!$A$6:$A$21,0),IF($B19=2026,1,IF($B19=2027,3,5)))+($C19-1)*16</f>
        <v>25</v>
      </c>
      <c r="G19" s="7">
        <f>INDEX(Ladder!$B$6:$G$21,MATCH($D19,Ladder!$A$6:$A$21,0),IF($B19=2026,2,IF($B19=2027,4,6)))+($C19-1)*16</f>
        <v>25</v>
      </c>
      <c r="H19" s="7" t="str">
        <f t="shared" si="0"/>
        <v>#25</v>
      </c>
      <c r="I19" s="9">
        <f>ROUND(AVERAGEIFS('Pick Values'!$B$2:$B$81,'Pick Values'!$A$2:$A$81,"&gt;="&amp;$F19,'Pick Values'!$A$2:$A$81,"&lt;="&amp;$G19),0)</f>
        <v>675</v>
      </c>
      <c r="J19" s="9">
        <f>IF($B19=2027,ROUND($I19*Ladder!$B$2,0),IF($B19=2028,ROUND($I19*Ladder!$B$3,0),$I19))</f>
        <v>608</v>
      </c>
    </row>
    <row r="20" spans="1:10" x14ac:dyDescent="0.3">
      <c r="A20" s="7">
        <v>18</v>
      </c>
      <c r="B20" s="7">
        <v>2027</v>
      </c>
      <c r="C20" s="7">
        <v>3</v>
      </c>
      <c r="D20" s="8" t="s">
        <v>14</v>
      </c>
      <c r="E20" s="15" t="s">
        <v>20</v>
      </c>
      <c r="F20" s="7">
        <f>INDEX(Ladder!$B$6:$G$21,MATCH($D20,Ladder!$A$6:$A$21,0),IF($B20=2026,1,IF($B20=2027,3,5)))+($C20-1)*16</f>
        <v>41</v>
      </c>
      <c r="G20" s="7">
        <f>INDEX(Ladder!$B$6:$G$21,MATCH($D20,Ladder!$A$6:$A$21,0),IF($B20=2026,2,IF($B20=2027,4,6)))+($C20-1)*16</f>
        <v>41</v>
      </c>
      <c r="H20" s="7" t="str">
        <f t="shared" si="0"/>
        <v>#41</v>
      </c>
      <c r="I20" s="9">
        <f>ROUND(AVERAGEIFS('Pick Values'!$B$2:$B$81,'Pick Values'!$A$2:$A$81,"&gt;="&amp;$F20,'Pick Values'!$A$2:$A$81,"&lt;="&amp;$G20),0)</f>
        <v>453</v>
      </c>
      <c r="J20" s="9">
        <f>IF($B20=2027,ROUND($I20*Ladder!$B$2,0),IF($B20=2028,ROUND($I20*Ladder!$B$3,0),$I20))</f>
        <v>408</v>
      </c>
    </row>
    <row r="21" spans="1:10" x14ac:dyDescent="0.3">
      <c r="A21" s="7">
        <v>19</v>
      </c>
      <c r="B21" s="7">
        <v>2027</v>
      </c>
      <c r="C21" s="7">
        <v>4</v>
      </c>
      <c r="D21" s="8" t="s">
        <v>14</v>
      </c>
      <c r="E21" s="15" t="s">
        <v>14</v>
      </c>
      <c r="F21" s="7">
        <f>INDEX(Ladder!$B$6:$G$21,MATCH($D21,Ladder!$A$6:$A$21,0),IF($B21=2026,1,IF($B21=2027,3,5)))+($C21-1)*16</f>
        <v>57</v>
      </c>
      <c r="G21" s="7">
        <f>INDEX(Ladder!$B$6:$G$21,MATCH($D21,Ladder!$A$6:$A$21,0),IF($B21=2026,2,IF($B21=2027,4,6)))+($C21-1)*16</f>
        <v>57</v>
      </c>
      <c r="H21" s="7" t="str">
        <f t="shared" si="0"/>
        <v>#57</v>
      </c>
      <c r="I21" s="9">
        <f>ROUND(AVERAGEIFS('Pick Values'!$B$2:$B$81,'Pick Values'!$A$2:$A$81,"&gt;="&amp;$F21,'Pick Values'!$A$2:$A$81,"&lt;="&amp;$G21),0)</f>
        <v>213</v>
      </c>
      <c r="J21" s="9">
        <f>IF($B21=2027,ROUND($I21*Ladder!$B$2,0),IF($B21=2028,ROUND($I21*Ladder!$B$3,0),$I21))</f>
        <v>192</v>
      </c>
    </row>
    <row r="22" spans="1:10" x14ac:dyDescent="0.3">
      <c r="A22" s="7">
        <v>20</v>
      </c>
      <c r="B22" s="7">
        <v>2027</v>
      </c>
      <c r="C22" s="7">
        <v>5</v>
      </c>
      <c r="D22" s="8" t="s">
        <v>14</v>
      </c>
      <c r="E22" s="15" t="s">
        <v>14</v>
      </c>
      <c r="F22" s="7">
        <f>INDEX(Ladder!$B$6:$G$21,MATCH($D22,Ladder!$A$6:$A$21,0),IF($B22=2026,1,IF($B22=2027,3,5)))+($C22-1)*16</f>
        <v>73</v>
      </c>
      <c r="G22" s="7">
        <f>INDEX(Ladder!$B$6:$G$21,MATCH($D22,Ladder!$A$6:$A$21,0),IF($B22=2026,2,IF($B22=2027,4,6)))+($C22-1)*16</f>
        <v>73</v>
      </c>
      <c r="H22" s="7" t="str">
        <f t="shared" si="0"/>
        <v>#73</v>
      </c>
      <c r="I22" s="9">
        <f>ROUND(AVERAGEIFS('Pick Values'!$B$2:$B$81,'Pick Values'!$A$2:$A$81,"&gt;="&amp;$F22,'Pick Values'!$A$2:$A$81,"&lt;="&amp;$G22),0)</f>
        <v>0</v>
      </c>
      <c r="J22" s="9">
        <f>IF($B22=2027,ROUND($I22*Ladder!$B$2,0),IF($B22=2028,ROUND($I22*Ladder!$B$3,0),$I22))</f>
        <v>0</v>
      </c>
    </row>
    <row r="23" spans="1:10" x14ac:dyDescent="0.3">
      <c r="A23" s="7">
        <v>21</v>
      </c>
      <c r="B23" s="7">
        <v>2026</v>
      </c>
      <c r="C23" s="7">
        <v>1</v>
      </c>
      <c r="D23" s="8" t="s">
        <v>15</v>
      </c>
      <c r="E23" s="15" t="s">
        <v>21</v>
      </c>
      <c r="F23" s="7">
        <f>INDEX(Ladder!$B$6:$G$21,MATCH($D23,Ladder!$A$6:$A$21,0),IF($B23=2026,1,IF($B23=2027,3,5)))+($C23-1)*16</f>
        <v>8</v>
      </c>
      <c r="G23" s="7">
        <f>INDEX(Ladder!$B$6:$G$21,MATCH($D23,Ladder!$A$6:$A$21,0),IF($B23=2026,2,IF($B23=2027,4,6)))+($C23-1)*16</f>
        <v>8</v>
      </c>
      <c r="H23" s="7" t="str">
        <f t="shared" si="0"/>
        <v>#8</v>
      </c>
      <c r="I23" s="9">
        <f>ROUND(AVERAGEIFS('Pick Values'!$B$2:$B$81,'Pick Values'!$A$2:$A$81,"&gt;="&amp;$F23,'Pick Values'!$A$2:$A$81,"&lt;="&amp;$G23),0)</f>
        <v>1343</v>
      </c>
      <c r="J23" s="9">
        <f>IF($B23=2027,ROUND($I23*Ladder!$B$2,0),IF($B23=2028,ROUND($I23*Ladder!$B$3,0),$I23))</f>
        <v>1343</v>
      </c>
    </row>
    <row r="24" spans="1:10" x14ac:dyDescent="0.3">
      <c r="A24" s="7">
        <v>22</v>
      </c>
      <c r="B24" s="7">
        <v>2026</v>
      </c>
      <c r="C24" s="7">
        <v>2</v>
      </c>
      <c r="D24" s="8" t="s">
        <v>15</v>
      </c>
      <c r="E24" s="15" t="s">
        <v>18</v>
      </c>
      <c r="F24" s="7">
        <f>INDEX(Ladder!$B$6:$G$21,MATCH($D24,Ladder!$A$6:$A$21,0),IF($B24=2026,1,IF($B24=2027,3,5)))+($C24-1)*16</f>
        <v>24</v>
      </c>
      <c r="G24" s="7">
        <f>INDEX(Ladder!$B$6:$G$21,MATCH($D24,Ladder!$A$6:$A$21,0),IF($B24=2026,2,IF($B24=2027,4,6)))+($C24-1)*16</f>
        <v>24</v>
      </c>
      <c r="H24" s="7" t="str">
        <f t="shared" si="0"/>
        <v>#24</v>
      </c>
      <c r="I24" s="9">
        <f>ROUND(AVERAGEIFS('Pick Values'!$B$2:$B$81,'Pick Values'!$A$2:$A$81,"&gt;="&amp;$F24,'Pick Values'!$A$2:$A$81,"&lt;="&amp;$G24),0)</f>
        <v>702</v>
      </c>
      <c r="J24" s="9">
        <f>IF($B24=2027,ROUND($I24*Ladder!$B$2,0),IF($B24=2028,ROUND($I24*Ladder!$B$3,0),$I24))</f>
        <v>702</v>
      </c>
    </row>
    <row r="25" spans="1:10" x14ac:dyDescent="0.3">
      <c r="A25" s="7">
        <v>23</v>
      </c>
      <c r="B25" s="7">
        <v>2026</v>
      </c>
      <c r="C25" s="7">
        <v>3</v>
      </c>
      <c r="D25" s="8" t="s">
        <v>15</v>
      </c>
      <c r="E25" s="15" t="s">
        <v>25</v>
      </c>
      <c r="F25" s="7">
        <f>INDEX(Ladder!$B$6:$G$21,MATCH($D25,Ladder!$A$6:$A$21,0),IF($B25=2026,1,IF($B25=2027,3,5)))+($C25-1)*16</f>
        <v>40</v>
      </c>
      <c r="G25" s="7">
        <f>INDEX(Ladder!$B$6:$G$21,MATCH($D25,Ladder!$A$6:$A$21,0),IF($B25=2026,2,IF($B25=2027,4,6)))+($C25-1)*16</f>
        <v>40</v>
      </c>
      <c r="H25" s="7" t="str">
        <f t="shared" si="0"/>
        <v>#40</v>
      </c>
      <c r="I25" s="9">
        <f>ROUND(AVERAGEIFS('Pick Values'!$B$2:$B$81,'Pick Values'!$A$2:$A$81,"&gt;="&amp;$F25,'Pick Values'!$A$2:$A$81,"&lt;="&amp;$G25),0)</f>
        <v>472</v>
      </c>
      <c r="J25" s="9">
        <f>IF($B25=2027,ROUND($I25*Ladder!$B$2,0),IF($B25=2028,ROUND($I25*Ladder!$B$3,0),$I25))</f>
        <v>472</v>
      </c>
    </row>
    <row r="26" spans="1:10" x14ac:dyDescent="0.3">
      <c r="A26" s="7">
        <v>24</v>
      </c>
      <c r="B26" s="7">
        <v>2026</v>
      </c>
      <c r="C26" s="7">
        <v>4</v>
      </c>
      <c r="D26" s="8" t="s">
        <v>15</v>
      </c>
      <c r="E26" s="15" t="s">
        <v>25</v>
      </c>
      <c r="F26" s="7">
        <f>INDEX(Ladder!$B$6:$G$21,MATCH($D26,Ladder!$A$6:$A$21,0),IF($B26=2026,1,IF($B26=2027,3,5)))+($C26-1)*16</f>
        <v>56</v>
      </c>
      <c r="G26" s="7">
        <f>INDEX(Ladder!$B$6:$G$21,MATCH($D26,Ladder!$A$6:$A$21,0),IF($B26=2026,2,IF($B26=2027,4,6)))+($C26-1)*16</f>
        <v>56</v>
      </c>
      <c r="H26" s="7" t="str">
        <f t="shared" si="0"/>
        <v>#56</v>
      </c>
      <c r="I26" s="9">
        <f>ROUND(AVERAGEIFS('Pick Values'!$B$2:$B$81,'Pick Values'!$A$2:$A$81,"&gt;="&amp;$F26,'Pick Values'!$A$2:$A$81,"&lt;="&amp;$G26),0)</f>
        <v>223</v>
      </c>
      <c r="J26" s="9">
        <f>IF($B26=2027,ROUND($I26*Ladder!$B$2,0),IF($B26=2028,ROUND($I26*Ladder!$B$3,0),$I26))</f>
        <v>223</v>
      </c>
    </row>
    <row r="27" spans="1:10" x14ac:dyDescent="0.3">
      <c r="A27" s="7">
        <v>25</v>
      </c>
      <c r="B27" s="7">
        <v>2026</v>
      </c>
      <c r="C27" s="7">
        <v>5</v>
      </c>
      <c r="D27" s="8" t="s">
        <v>15</v>
      </c>
      <c r="E27" s="15" t="s">
        <v>24</v>
      </c>
      <c r="F27" s="7">
        <f>INDEX(Ladder!$B$6:$G$21,MATCH($D27,Ladder!$A$6:$A$21,0),IF($B27=2026,1,IF($B27=2027,3,5)))+($C27-1)*16</f>
        <v>72</v>
      </c>
      <c r="G27" s="7">
        <f>INDEX(Ladder!$B$6:$G$21,MATCH($D27,Ladder!$A$6:$A$21,0),IF($B27=2026,2,IF($B27=2027,4,6)))+($C27-1)*16</f>
        <v>72</v>
      </c>
      <c r="H27" s="7" t="str">
        <f t="shared" si="0"/>
        <v>#72</v>
      </c>
      <c r="I27" s="9">
        <f>ROUND(AVERAGEIFS('Pick Values'!$B$2:$B$81,'Pick Values'!$A$2:$A$81,"&gt;="&amp;$F27,'Pick Values'!$A$2:$A$81,"&lt;="&amp;$G27),0)</f>
        <v>0</v>
      </c>
      <c r="J27" s="9">
        <f>IF($B27=2027,ROUND($I27*Ladder!$B$2,0),IF($B27=2028,ROUND($I27*Ladder!$B$3,0),$I27))</f>
        <v>0</v>
      </c>
    </row>
    <row r="28" spans="1:10" x14ac:dyDescent="0.3">
      <c r="A28" s="7">
        <v>26</v>
      </c>
      <c r="B28" s="7">
        <v>2027</v>
      </c>
      <c r="C28" s="7">
        <v>1</v>
      </c>
      <c r="D28" s="8" t="s">
        <v>15</v>
      </c>
      <c r="E28" s="15" t="s">
        <v>13</v>
      </c>
      <c r="F28" s="7">
        <f>INDEX(Ladder!$B$6:$G$21,MATCH($D28,Ladder!$A$6:$A$21,0),IF($B28=2026,1,IF($B28=2027,3,5)))+($C28-1)*16</f>
        <v>8</v>
      </c>
      <c r="G28" s="7">
        <f>INDEX(Ladder!$B$6:$G$21,MATCH($D28,Ladder!$A$6:$A$21,0),IF($B28=2026,2,IF($B28=2027,4,6)))+($C28-1)*16</f>
        <v>8</v>
      </c>
      <c r="H28" s="7" t="str">
        <f t="shared" si="0"/>
        <v>#8</v>
      </c>
      <c r="I28" s="9">
        <f>ROUND(AVERAGEIFS('Pick Values'!$B$2:$B$81,'Pick Values'!$A$2:$A$81,"&gt;="&amp;$F28,'Pick Values'!$A$2:$A$81,"&lt;="&amp;$G28),0)</f>
        <v>1343</v>
      </c>
      <c r="J28" s="9">
        <f>IF($B28=2027,ROUND($I28*Ladder!$B$2,0),IF($B28=2028,ROUND($I28*Ladder!$B$3,0),$I28))</f>
        <v>1209</v>
      </c>
    </row>
    <row r="29" spans="1:10" x14ac:dyDescent="0.3">
      <c r="A29" s="7">
        <v>27</v>
      </c>
      <c r="B29" s="7">
        <v>2027</v>
      </c>
      <c r="C29" s="7">
        <v>2</v>
      </c>
      <c r="D29" s="8" t="s">
        <v>15</v>
      </c>
      <c r="E29" s="15" t="s">
        <v>13</v>
      </c>
      <c r="F29" s="7">
        <f>INDEX(Ladder!$B$6:$G$21,MATCH($D29,Ladder!$A$6:$A$21,0),IF($B29=2026,1,IF($B29=2027,3,5)))+($C29-1)*16</f>
        <v>24</v>
      </c>
      <c r="G29" s="7">
        <f>INDEX(Ladder!$B$6:$G$21,MATCH($D29,Ladder!$A$6:$A$21,0),IF($B29=2026,2,IF($B29=2027,4,6)))+($C29-1)*16</f>
        <v>24</v>
      </c>
      <c r="H29" s="7" t="str">
        <f t="shared" si="0"/>
        <v>#24</v>
      </c>
      <c r="I29" s="9">
        <f>ROUND(AVERAGEIFS('Pick Values'!$B$2:$B$81,'Pick Values'!$A$2:$A$81,"&gt;="&amp;$F29,'Pick Values'!$A$2:$A$81,"&lt;="&amp;$G29),0)</f>
        <v>702</v>
      </c>
      <c r="J29" s="9">
        <f>IF($B29=2027,ROUND($I29*Ladder!$B$2,0),IF($B29=2028,ROUND($I29*Ladder!$B$3,0),$I29))</f>
        <v>632</v>
      </c>
    </row>
    <row r="30" spans="1:10" x14ac:dyDescent="0.3">
      <c r="A30" s="7">
        <v>28</v>
      </c>
      <c r="B30" s="7">
        <v>2027</v>
      </c>
      <c r="C30" s="7">
        <v>3</v>
      </c>
      <c r="D30" s="8" t="s">
        <v>15</v>
      </c>
      <c r="E30" s="15" t="s">
        <v>16</v>
      </c>
      <c r="F30" s="7">
        <f>INDEX(Ladder!$B$6:$G$21,MATCH($D30,Ladder!$A$6:$A$21,0),IF($B30=2026,1,IF($B30=2027,3,5)))+($C30-1)*16</f>
        <v>40</v>
      </c>
      <c r="G30" s="7">
        <f>INDEX(Ladder!$B$6:$G$21,MATCH($D30,Ladder!$A$6:$A$21,0),IF($B30=2026,2,IF($B30=2027,4,6)))+($C30-1)*16</f>
        <v>40</v>
      </c>
      <c r="H30" s="7" t="str">
        <f t="shared" si="0"/>
        <v>#40</v>
      </c>
      <c r="I30" s="9">
        <f>ROUND(AVERAGEIFS('Pick Values'!$B$2:$B$81,'Pick Values'!$A$2:$A$81,"&gt;="&amp;$F30,'Pick Values'!$A$2:$A$81,"&lt;="&amp;$G30),0)</f>
        <v>472</v>
      </c>
      <c r="J30" s="9">
        <f>IF($B30=2027,ROUND($I30*Ladder!$B$2,0),IF($B30=2028,ROUND($I30*Ladder!$B$3,0),$I30))</f>
        <v>425</v>
      </c>
    </row>
    <row r="31" spans="1:10" x14ac:dyDescent="0.3">
      <c r="A31" s="7">
        <v>29</v>
      </c>
      <c r="B31" s="7">
        <v>2027</v>
      </c>
      <c r="C31" s="7">
        <v>4</v>
      </c>
      <c r="D31" s="8" t="s">
        <v>15</v>
      </c>
      <c r="E31" s="15" t="s">
        <v>16</v>
      </c>
      <c r="F31" s="7">
        <f>INDEX(Ladder!$B$6:$G$21,MATCH($D31,Ladder!$A$6:$A$21,0),IF($B31=2026,1,IF($B31=2027,3,5)))+($C31-1)*16</f>
        <v>56</v>
      </c>
      <c r="G31" s="7">
        <f>INDEX(Ladder!$B$6:$G$21,MATCH($D31,Ladder!$A$6:$A$21,0),IF($B31=2026,2,IF($B31=2027,4,6)))+($C31-1)*16</f>
        <v>56</v>
      </c>
      <c r="H31" s="7" t="str">
        <f t="shared" si="0"/>
        <v>#56</v>
      </c>
      <c r="I31" s="9">
        <f>ROUND(AVERAGEIFS('Pick Values'!$B$2:$B$81,'Pick Values'!$A$2:$A$81,"&gt;="&amp;$F31,'Pick Values'!$A$2:$A$81,"&lt;="&amp;$G31),0)</f>
        <v>223</v>
      </c>
      <c r="J31" s="9">
        <f>IF($B31=2027,ROUND($I31*Ladder!$B$2,0),IF($B31=2028,ROUND($I31*Ladder!$B$3,0),$I31))</f>
        <v>201</v>
      </c>
    </row>
    <row r="32" spans="1:10" x14ac:dyDescent="0.3">
      <c r="A32" s="7">
        <v>30</v>
      </c>
      <c r="B32" s="7">
        <v>2027</v>
      </c>
      <c r="C32" s="7">
        <v>5</v>
      </c>
      <c r="D32" s="8" t="s">
        <v>15</v>
      </c>
      <c r="E32" s="15" t="s">
        <v>15</v>
      </c>
      <c r="F32" s="7">
        <f>INDEX(Ladder!$B$6:$G$21,MATCH($D32,Ladder!$A$6:$A$21,0),IF($B32=2026,1,IF($B32=2027,3,5)))+($C32-1)*16</f>
        <v>72</v>
      </c>
      <c r="G32" s="7">
        <f>INDEX(Ladder!$B$6:$G$21,MATCH($D32,Ladder!$A$6:$A$21,0),IF($B32=2026,2,IF($B32=2027,4,6)))+($C32-1)*16</f>
        <v>72</v>
      </c>
      <c r="H32" s="7" t="str">
        <f t="shared" si="0"/>
        <v>#72</v>
      </c>
      <c r="I32" s="9">
        <f>ROUND(AVERAGEIFS('Pick Values'!$B$2:$B$81,'Pick Values'!$A$2:$A$81,"&gt;="&amp;$F32,'Pick Values'!$A$2:$A$81,"&lt;="&amp;$G32),0)</f>
        <v>0</v>
      </c>
      <c r="J32" s="9">
        <f>IF($B32=2027,ROUND($I32*Ladder!$B$2,0),IF($B32=2028,ROUND($I32*Ladder!$B$3,0),$I32))</f>
        <v>0</v>
      </c>
    </row>
    <row r="33" spans="1:10" x14ac:dyDescent="0.3">
      <c r="A33" s="7">
        <v>31</v>
      </c>
      <c r="B33" s="7">
        <v>2026</v>
      </c>
      <c r="C33" s="7">
        <v>1</v>
      </c>
      <c r="D33" s="8" t="s">
        <v>16</v>
      </c>
      <c r="E33" s="15" t="s">
        <v>16</v>
      </c>
      <c r="F33" s="7">
        <f>INDEX(Ladder!$B$6:$G$21,MATCH($D33,Ladder!$A$6:$A$21,0),IF($B33=2026,1,IF($B33=2027,3,5)))+($C33-1)*16</f>
        <v>7</v>
      </c>
      <c r="G33" s="7">
        <f>INDEX(Ladder!$B$6:$G$21,MATCH($D33,Ladder!$A$6:$A$21,0),IF($B33=2026,2,IF($B33=2027,4,6)))+($C33-1)*16</f>
        <v>7</v>
      </c>
      <c r="H33" s="7" t="str">
        <f t="shared" si="0"/>
        <v>#7</v>
      </c>
      <c r="I33" s="9">
        <f>ROUND(AVERAGEIFS('Pick Values'!$B$2:$B$81,'Pick Values'!$A$2:$A$81,"&gt;="&amp;$F33,'Pick Values'!$A$2:$A$81,"&lt;="&amp;$G33),0)</f>
        <v>1383</v>
      </c>
      <c r="J33" s="9">
        <f>IF($B33=2027,ROUND($I33*Ladder!$B$2,0),IF($B33=2028,ROUND($I33*Ladder!$B$3,0),$I33))</f>
        <v>1383</v>
      </c>
    </row>
    <row r="34" spans="1:10" x14ac:dyDescent="0.3">
      <c r="A34" s="7">
        <v>32</v>
      </c>
      <c r="B34" s="7">
        <v>2026</v>
      </c>
      <c r="C34" s="7">
        <v>2</v>
      </c>
      <c r="D34" s="8" t="s">
        <v>16</v>
      </c>
      <c r="E34" s="15" t="s">
        <v>16</v>
      </c>
      <c r="F34" s="7">
        <f>INDEX(Ladder!$B$6:$G$21,MATCH($D34,Ladder!$A$6:$A$21,0),IF($B34=2026,1,IF($B34=2027,3,5)))+($C34-1)*16</f>
        <v>23</v>
      </c>
      <c r="G34" s="7">
        <f>INDEX(Ladder!$B$6:$G$21,MATCH($D34,Ladder!$A$6:$A$21,0),IF($B34=2026,2,IF($B34=2027,4,6)))+($C34-1)*16</f>
        <v>23</v>
      </c>
      <c r="H34" s="7" t="str">
        <f t="shared" si="0"/>
        <v>#23</v>
      </c>
      <c r="I34" s="9">
        <f>ROUND(AVERAGEIFS('Pick Values'!$B$2:$B$81,'Pick Values'!$A$2:$A$81,"&gt;="&amp;$F34,'Pick Values'!$A$2:$A$81,"&lt;="&amp;$G34),0)</f>
        <v>736</v>
      </c>
      <c r="J34" s="9">
        <f>IF($B34=2027,ROUND($I34*Ladder!$B$2,0),IF($B34=2028,ROUND($I34*Ladder!$B$3,0),$I34))</f>
        <v>736</v>
      </c>
    </row>
    <row r="35" spans="1:10" x14ac:dyDescent="0.3">
      <c r="A35" s="7">
        <v>33</v>
      </c>
      <c r="B35" s="7">
        <v>2026</v>
      </c>
      <c r="C35" s="7">
        <v>3</v>
      </c>
      <c r="D35" s="8" t="s">
        <v>16</v>
      </c>
      <c r="E35" s="15" t="s">
        <v>13</v>
      </c>
      <c r="F35" s="7">
        <f>INDEX(Ladder!$B$6:$G$21,MATCH($D35,Ladder!$A$6:$A$21,0),IF($B35=2026,1,IF($B35=2027,3,5)))+($C35-1)*16</f>
        <v>39</v>
      </c>
      <c r="G35" s="7">
        <f>INDEX(Ladder!$B$6:$G$21,MATCH($D35,Ladder!$A$6:$A$21,0),IF($B35=2026,2,IF($B35=2027,4,6)))+($C35-1)*16</f>
        <v>39</v>
      </c>
      <c r="H35" s="7" t="str">
        <f t="shared" si="0"/>
        <v>#39</v>
      </c>
      <c r="I35" s="9">
        <f>ROUND(AVERAGEIFS('Pick Values'!$B$2:$B$81,'Pick Values'!$A$2:$A$81,"&gt;="&amp;$F35,'Pick Values'!$A$2:$A$81,"&lt;="&amp;$G35),0)</f>
        <v>489</v>
      </c>
      <c r="J35" s="9">
        <f>IF($B35=2027,ROUND($I35*Ladder!$B$2,0),IF($B35=2028,ROUND($I35*Ladder!$B$3,0),$I35))</f>
        <v>489</v>
      </c>
    </row>
    <row r="36" spans="1:10" x14ac:dyDescent="0.3">
      <c r="A36" s="7">
        <v>34</v>
      </c>
      <c r="B36" s="7">
        <v>2026</v>
      </c>
      <c r="C36" s="7">
        <v>4</v>
      </c>
      <c r="D36" s="8" t="s">
        <v>16</v>
      </c>
      <c r="E36" s="15" t="s">
        <v>20</v>
      </c>
      <c r="F36" s="7">
        <f>INDEX(Ladder!$B$6:$G$21,MATCH($D36,Ladder!$A$6:$A$21,0),IF($B36=2026,1,IF($B36=2027,3,5)))+($C36-1)*16</f>
        <v>55</v>
      </c>
      <c r="G36" s="7">
        <f>INDEX(Ladder!$B$6:$G$21,MATCH($D36,Ladder!$A$6:$A$21,0),IF($B36=2026,2,IF($B36=2027,4,6)))+($C36-1)*16</f>
        <v>55</v>
      </c>
      <c r="H36" s="7" t="str">
        <f t="shared" si="0"/>
        <v>#55</v>
      </c>
      <c r="I36" s="9">
        <f>ROUND(AVERAGEIFS('Pick Values'!$B$2:$B$81,'Pick Values'!$A$2:$A$81,"&gt;="&amp;$F36,'Pick Values'!$A$2:$A$81,"&lt;="&amp;$G36),0)</f>
        <v>232</v>
      </c>
      <c r="J36" s="9">
        <f>IF($B36=2027,ROUND($I36*Ladder!$B$2,0),IF($B36=2028,ROUND($I36*Ladder!$B$3,0),$I36))</f>
        <v>232</v>
      </c>
    </row>
    <row r="37" spans="1:10" x14ac:dyDescent="0.3">
      <c r="A37" s="7">
        <v>35</v>
      </c>
      <c r="B37" s="7">
        <v>2026</v>
      </c>
      <c r="C37" s="7">
        <v>5</v>
      </c>
      <c r="D37" s="8" t="s">
        <v>16</v>
      </c>
      <c r="E37" s="15" t="s">
        <v>15</v>
      </c>
      <c r="F37" s="7">
        <f>INDEX(Ladder!$B$6:$G$21,MATCH($D37,Ladder!$A$6:$A$21,0),IF($B37=2026,1,IF($B37=2027,3,5)))+($C37-1)*16</f>
        <v>71</v>
      </c>
      <c r="G37" s="7">
        <f>INDEX(Ladder!$B$6:$G$21,MATCH($D37,Ladder!$A$6:$A$21,0),IF($B37=2026,2,IF($B37=2027,4,6)))+($C37-1)*16</f>
        <v>71</v>
      </c>
      <c r="H37" s="7" t="str">
        <f t="shared" si="0"/>
        <v>#71</v>
      </c>
      <c r="I37" s="9">
        <f>ROUND(AVERAGEIFS('Pick Values'!$B$2:$B$81,'Pick Values'!$A$2:$A$81,"&gt;="&amp;$F37,'Pick Values'!$A$2:$A$81,"&lt;="&amp;$G37),0)</f>
        <v>0</v>
      </c>
      <c r="J37" s="9">
        <f>IF($B37=2027,ROUND($I37*Ladder!$B$2,0),IF($B37=2028,ROUND($I37*Ladder!$B$3,0),$I37))</f>
        <v>0</v>
      </c>
    </row>
    <row r="38" spans="1:10" x14ac:dyDescent="0.3">
      <c r="A38" s="7">
        <v>36</v>
      </c>
      <c r="B38" s="7">
        <v>2027</v>
      </c>
      <c r="C38" s="7">
        <v>1</v>
      </c>
      <c r="D38" s="8" t="s">
        <v>16</v>
      </c>
      <c r="E38" s="15" t="s">
        <v>16</v>
      </c>
      <c r="F38" s="7">
        <f>INDEX(Ladder!$B$6:$G$21,MATCH($D38,Ladder!$A$6:$A$21,0),IF($B38=2026,1,IF($B38=2027,3,5)))+($C38-1)*16</f>
        <v>7</v>
      </c>
      <c r="G38" s="7">
        <f>INDEX(Ladder!$B$6:$G$21,MATCH($D38,Ladder!$A$6:$A$21,0),IF($B38=2026,2,IF($B38=2027,4,6)))+($C38-1)*16</f>
        <v>7</v>
      </c>
      <c r="H38" s="7" t="str">
        <f t="shared" si="0"/>
        <v>#7</v>
      </c>
      <c r="I38" s="9">
        <f>ROUND(AVERAGEIFS('Pick Values'!$B$2:$B$81,'Pick Values'!$A$2:$A$81,"&gt;="&amp;$F38,'Pick Values'!$A$2:$A$81,"&lt;="&amp;$G38),0)</f>
        <v>1383</v>
      </c>
      <c r="J38" s="9">
        <f>IF($B38=2027,ROUND($I38*Ladder!$B$2,0),IF($B38=2028,ROUND($I38*Ladder!$B$3,0),$I38))</f>
        <v>1245</v>
      </c>
    </row>
    <row r="39" spans="1:10" x14ac:dyDescent="0.3">
      <c r="A39" s="7">
        <v>37</v>
      </c>
      <c r="B39" s="7">
        <v>2027</v>
      </c>
      <c r="C39" s="7">
        <v>2</v>
      </c>
      <c r="D39" s="8" t="s">
        <v>16</v>
      </c>
      <c r="E39" s="15" t="s">
        <v>16</v>
      </c>
      <c r="F39" s="7">
        <f>INDEX(Ladder!$B$6:$G$21,MATCH($D39,Ladder!$A$6:$A$21,0),IF($B39=2026,1,IF($B39=2027,3,5)))+($C39-1)*16</f>
        <v>23</v>
      </c>
      <c r="G39" s="7">
        <f>INDEX(Ladder!$B$6:$G$21,MATCH($D39,Ladder!$A$6:$A$21,0),IF($B39=2026,2,IF($B39=2027,4,6)))+($C39-1)*16</f>
        <v>23</v>
      </c>
      <c r="H39" s="7" t="str">
        <f t="shared" si="0"/>
        <v>#23</v>
      </c>
      <c r="I39" s="9">
        <f>ROUND(AVERAGEIFS('Pick Values'!$B$2:$B$81,'Pick Values'!$A$2:$A$81,"&gt;="&amp;$F39,'Pick Values'!$A$2:$A$81,"&lt;="&amp;$G39),0)</f>
        <v>736</v>
      </c>
      <c r="J39" s="9">
        <f>IF($B39=2027,ROUND($I39*Ladder!$B$2,0),IF($B39=2028,ROUND($I39*Ladder!$B$3,0),$I39))</f>
        <v>662</v>
      </c>
    </row>
    <row r="40" spans="1:10" x14ac:dyDescent="0.3">
      <c r="A40" s="7">
        <v>38</v>
      </c>
      <c r="B40" s="7">
        <v>2027</v>
      </c>
      <c r="C40" s="7">
        <v>3</v>
      </c>
      <c r="D40" s="8" t="s">
        <v>16</v>
      </c>
      <c r="E40" s="15" t="s">
        <v>18</v>
      </c>
      <c r="F40" s="7">
        <f>INDEX(Ladder!$B$6:$G$21,MATCH($D40,Ladder!$A$6:$A$21,0),IF($B40=2026,1,IF($B40=2027,3,5)))+($C40-1)*16</f>
        <v>39</v>
      </c>
      <c r="G40" s="7">
        <f>INDEX(Ladder!$B$6:$G$21,MATCH($D40,Ladder!$A$6:$A$21,0),IF($B40=2026,2,IF($B40=2027,4,6)))+($C40-1)*16</f>
        <v>39</v>
      </c>
      <c r="H40" s="7" t="str">
        <f t="shared" si="0"/>
        <v>#39</v>
      </c>
      <c r="I40" s="9">
        <f>ROUND(AVERAGEIFS('Pick Values'!$B$2:$B$81,'Pick Values'!$A$2:$A$81,"&gt;="&amp;$F40,'Pick Values'!$A$2:$A$81,"&lt;="&amp;$G40),0)</f>
        <v>489</v>
      </c>
      <c r="J40" s="9">
        <f>IF($B40=2027,ROUND($I40*Ladder!$B$2,0),IF($B40=2028,ROUND($I40*Ladder!$B$3,0),$I40))</f>
        <v>440</v>
      </c>
    </row>
    <row r="41" spans="1:10" x14ac:dyDescent="0.3">
      <c r="A41" s="7">
        <v>39</v>
      </c>
      <c r="B41" s="7">
        <v>2027</v>
      </c>
      <c r="C41" s="7">
        <v>4</v>
      </c>
      <c r="D41" s="8" t="s">
        <v>16</v>
      </c>
      <c r="E41" s="15" t="s">
        <v>20</v>
      </c>
      <c r="F41" s="7">
        <f>INDEX(Ladder!$B$6:$G$21,MATCH($D41,Ladder!$A$6:$A$21,0),IF($B41=2026,1,IF($B41=2027,3,5)))+($C41-1)*16</f>
        <v>55</v>
      </c>
      <c r="G41" s="7">
        <f>INDEX(Ladder!$B$6:$G$21,MATCH($D41,Ladder!$A$6:$A$21,0),IF($B41=2026,2,IF($B41=2027,4,6)))+($C41-1)*16</f>
        <v>55</v>
      </c>
      <c r="H41" s="7" t="str">
        <f t="shared" si="0"/>
        <v>#55</v>
      </c>
      <c r="I41" s="9">
        <f>ROUND(AVERAGEIFS('Pick Values'!$B$2:$B$81,'Pick Values'!$A$2:$A$81,"&gt;="&amp;$F41,'Pick Values'!$A$2:$A$81,"&lt;="&amp;$G41),0)</f>
        <v>232</v>
      </c>
      <c r="J41" s="9">
        <f>IF($B41=2027,ROUND($I41*Ladder!$B$2,0),IF($B41=2028,ROUND($I41*Ladder!$B$3,0),$I41))</f>
        <v>209</v>
      </c>
    </row>
    <row r="42" spans="1:10" x14ac:dyDescent="0.3">
      <c r="A42" s="7">
        <v>40</v>
      </c>
      <c r="B42" s="7">
        <v>2027</v>
      </c>
      <c r="C42" s="7">
        <v>5</v>
      </c>
      <c r="D42" s="8" t="s">
        <v>16</v>
      </c>
      <c r="E42" s="15" t="s">
        <v>16</v>
      </c>
      <c r="F42" s="7">
        <f>INDEX(Ladder!$B$6:$G$21,MATCH($D42,Ladder!$A$6:$A$21,0),IF($B42=2026,1,IF($B42=2027,3,5)))+($C42-1)*16</f>
        <v>71</v>
      </c>
      <c r="G42" s="7">
        <f>INDEX(Ladder!$B$6:$G$21,MATCH($D42,Ladder!$A$6:$A$21,0),IF($B42=2026,2,IF($B42=2027,4,6)))+($C42-1)*16</f>
        <v>71</v>
      </c>
      <c r="H42" s="7" t="str">
        <f t="shared" si="0"/>
        <v>#71</v>
      </c>
      <c r="I42" s="9">
        <f>ROUND(AVERAGEIFS('Pick Values'!$B$2:$B$81,'Pick Values'!$A$2:$A$81,"&gt;="&amp;$F42,'Pick Values'!$A$2:$A$81,"&lt;="&amp;$G42),0)</f>
        <v>0</v>
      </c>
      <c r="J42" s="9">
        <f>IF($B42=2027,ROUND($I42*Ladder!$B$2,0),IF($B42=2028,ROUND($I42*Ladder!$B$3,0),$I42))</f>
        <v>0</v>
      </c>
    </row>
    <row r="43" spans="1:10" x14ac:dyDescent="0.3">
      <c r="A43" s="7">
        <v>41</v>
      </c>
      <c r="B43" s="7">
        <v>2026</v>
      </c>
      <c r="C43" s="7">
        <v>1</v>
      </c>
      <c r="D43" s="8" t="s">
        <v>17</v>
      </c>
      <c r="E43" s="15" t="s">
        <v>26</v>
      </c>
      <c r="F43" s="7">
        <f>INDEX(Ladder!$B$6:$G$21,MATCH($D43,Ladder!$A$6:$A$21,0),IF($B43=2026,1,IF($B43=2027,3,5)))+($C43-1)*16</f>
        <v>4</v>
      </c>
      <c r="G43" s="7">
        <f>INDEX(Ladder!$B$6:$G$21,MATCH($D43,Ladder!$A$6:$A$21,0),IF($B43=2026,2,IF($B43=2027,4,6)))+($C43-1)*16</f>
        <v>4</v>
      </c>
      <c r="H43" s="7" t="str">
        <f t="shared" si="0"/>
        <v>#4</v>
      </c>
      <c r="I43" s="9">
        <f>ROUND(AVERAGEIFS('Pick Values'!$B$2:$B$81,'Pick Values'!$A$2:$A$81,"&gt;="&amp;$F43,'Pick Values'!$A$2:$A$81,"&lt;="&amp;$G43),0)</f>
        <v>2074</v>
      </c>
      <c r="J43" s="9">
        <f>IF($B43=2027,ROUND($I43*Ladder!$B$2,0),IF($B43=2028,ROUND($I43*Ladder!$B$3,0),$I43))</f>
        <v>2074</v>
      </c>
    </row>
    <row r="44" spans="1:10" x14ac:dyDescent="0.3">
      <c r="A44" s="7">
        <v>42</v>
      </c>
      <c r="B44" s="7">
        <v>2026</v>
      </c>
      <c r="C44" s="7">
        <v>2</v>
      </c>
      <c r="D44" s="8" t="s">
        <v>17</v>
      </c>
      <c r="E44" s="15" t="s">
        <v>16</v>
      </c>
      <c r="F44" s="7">
        <f>INDEX(Ladder!$B$6:$G$21,MATCH($D44,Ladder!$A$6:$A$21,0),IF($B44=2026,1,IF($B44=2027,3,5)))+($C44-1)*16</f>
        <v>20</v>
      </c>
      <c r="G44" s="7">
        <f>INDEX(Ladder!$B$6:$G$21,MATCH($D44,Ladder!$A$6:$A$21,0),IF($B44=2026,2,IF($B44=2027,4,6)))+($C44-1)*16</f>
        <v>20</v>
      </c>
      <c r="H44" s="7" t="str">
        <f t="shared" si="0"/>
        <v>#20</v>
      </c>
      <c r="I44" s="9">
        <f>ROUND(AVERAGEIFS('Pick Values'!$B$2:$B$81,'Pick Values'!$A$2:$A$81,"&gt;="&amp;$F44,'Pick Values'!$A$2:$A$81,"&lt;="&amp;$G44),0)</f>
        <v>807</v>
      </c>
      <c r="J44" s="9">
        <f>IF($B44=2027,ROUND($I44*Ladder!$B$2,0),IF($B44=2028,ROUND($I44*Ladder!$B$3,0),$I44))</f>
        <v>807</v>
      </c>
    </row>
    <row r="45" spans="1:10" x14ac:dyDescent="0.3">
      <c r="A45" s="7">
        <v>43</v>
      </c>
      <c r="B45" s="7">
        <v>2026</v>
      </c>
      <c r="C45" s="7">
        <v>3</v>
      </c>
      <c r="D45" s="8" t="s">
        <v>17</v>
      </c>
      <c r="E45" s="15" t="s">
        <v>13</v>
      </c>
      <c r="F45" s="7">
        <f>INDEX(Ladder!$B$6:$G$21,MATCH($D45,Ladder!$A$6:$A$21,0),IF($B45=2026,1,IF($B45=2027,3,5)))+($C45-1)*16</f>
        <v>36</v>
      </c>
      <c r="G45" s="7">
        <f>INDEX(Ladder!$B$6:$G$21,MATCH($D45,Ladder!$A$6:$A$21,0),IF($B45=2026,2,IF($B45=2027,4,6)))+($C45-1)*16</f>
        <v>36</v>
      </c>
      <c r="H45" s="7" t="str">
        <f t="shared" si="0"/>
        <v>#36</v>
      </c>
      <c r="I45" s="9">
        <f>ROUND(AVERAGEIFS('Pick Values'!$B$2:$B$81,'Pick Values'!$A$2:$A$81,"&gt;="&amp;$F45,'Pick Values'!$A$2:$A$81,"&lt;="&amp;$G45),0)</f>
        <v>525</v>
      </c>
      <c r="J45" s="9">
        <f>IF($B45=2027,ROUND($I45*Ladder!$B$2,0),IF($B45=2028,ROUND($I45*Ladder!$B$3,0),$I45))</f>
        <v>525</v>
      </c>
    </row>
    <row r="46" spans="1:10" x14ac:dyDescent="0.3">
      <c r="A46" s="7">
        <v>44</v>
      </c>
      <c r="B46" s="7">
        <v>2026</v>
      </c>
      <c r="C46" s="7">
        <v>4</v>
      </c>
      <c r="D46" s="8" t="s">
        <v>17</v>
      </c>
      <c r="E46" s="15" t="s">
        <v>13</v>
      </c>
      <c r="F46" s="7">
        <f>INDEX(Ladder!$B$6:$G$21,MATCH($D46,Ladder!$A$6:$A$21,0),IF($B46=2026,1,IF($B46=2027,3,5)))+($C46-1)*16</f>
        <v>52</v>
      </c>
      <c r="G46" s="7">
        <f>INDEX(Ladder!$B$6:$G$21,MATCH($D46,Ladder!$A$6:$A$21,0),IF($B46=2026,2,IF($B46=2027,4,6)))+($C46-1)*16</f>
        <v>52</v>
      </c>
      <c r="H46" s="7" t="str">
        <f t="shared" si="0"/>
        <v>#52</v>
      </c>
      <c r="I46" s="9">
        <f>ROUND(AVERAGEIFS('Pick Values'!$B$2:$B$81,'Pick Values'!$A$2:$A$81,"&gt;="&amp;$F46,'Pick Values'!$A$2:$A$81,"&lt;="&amp;$G46),0)</f>
        <v>256</v>
      </c>
      <c r="J46" s="9">
        <f>IF($B46=2027,ROUND($I46*Ladder!$B$2,0),IF($B46=2028,ROUND($I46*Ladder!$B$3,0),$I46))</f>
        <v>256</v>
      </c>
    </row>
    <row r="47" spans="1:10" x14ac:dyDescent="0.3">
      <c r="A47" s="7">
        <v>45</v>
      </c>
      <c r="B47" s="7">
        <v>2026</v>
      </c>
      <c r="C47" s="7">
        <v>5</v>
      </c>
      <c r="D47" s="8" t="s">
        <v>17</v>
      </c>
      <c r="E47" s="15" t="s">
        <v>15</v>
      </c>
      <c r="F47" s="7">
        <f>INDEX(Ladder!$B$6:$G$21,MATCH($D47,Ladder!$A$6:$A$21,0),IF($B47=2026,1,IF($B47=2027,3,5)))+($C47-1)*16</f>
        <v>68</v>
      </c>
      <c r="G47" s="7">
        <f>INDEX(Ladder!$B$6:$G$21,MATCH($D47,Ladder!$A$6:$A$21,0),IF($B47=2026,2,IF($B47=2027,4,6)))+($C47-1)*16</f>
        <v>68</v>
      </c>
      <c r="H47" s="7" t="str">
        <f t="shared" si="0"/>
        <v>#68</v>
      </c>
      <c r="I47" s="9">
        <f>ROUND(AVERAGEIFS('Pick Values'!$B$2:$B$81,'Pick Values'!$A$2:$A$81,"&gt;="&amp;$F47,'Pick Values'!$A$2:$A$81,"&lt;="&amp;$G47),0)</f>
        <v>0</v>
      </c>
      <c r="J47" s="9">
        <f>IF($B47=2027,ROUND($I47*Ladder!$B$2,0),IF($B47=2028,ROUND($I47*Ladder!$B$3,0),$I47))</f>
        <v>0</v>
      </c>
    </row>
    <row r="48" spans="1:10" x14ac:dyDescent="0.3">
      <c r="A48" s="7">
        <v>46</v>
      </c>
      <c r="B48" s="7">
        <v>2027</v>
      </c>
      <c r="C48" s="7">
        <v>1</v>
      </c>
      <c r="D48" s="8" t="s">
        <v>17</v>
      </c>
      <c r="E48" s="15" t="s">
        <v>17</v>
      </c>
      <c r="F48" s="7">
        <f>INDEX(Ladder!$B$6:$G$21,MATCH($D48,Ladder!$A$6:$A$21,0),IF($B48=2026,1,IF($B48=2027,3,5)))+($C48-1)*16</f>
        <v>4</v>
      </c>
      <c r="G48" s="7">
        <f>INDEX(Ladder!$B$6:$G$21,MATCH($D48,Ladder!$A$6:$A$21,0),IF($B48=2026,2,IF($B48=2027,4,6)))+($C48-1)*16</f>
        <v>4</v>
      </c>
      <c r="H48" s="7" t="str">
        <f t="shared" si="0"/>
        <v>#4</v>
      </c>
      <c r="I48" s="9">
        <f>ROUND(AVERAGEIFS('Pick Values'!$B$2:$B$81,'Pick Values'!$A$2:$A$81,"&gt;="&amp;$F48,'Pick Values'!$A$2:$A$81,"&lt;="&amp;$G48),0)</f>
        <v>2074</v>
      </c>
      <c r="J48" s="9">
        <f>IF($B48=2027,ROUND($I48*Ladder!$B$2,0),IF($B48=2028,ROUND($I48*Ladder!$B$3,0),$I48))</f>
        <v>1867</v>
      </c>
    </row>
    <row r="49" spans="1:10" x14ac:dyDescent="0.3">
      <c r="A49" s="7">
        <v>47</v>
      </c>
      <c r="B49" s="7">
        <v>2027</v>
      </c>
      <c r="C49" s="7">
        <v>2</v>
      </c>
      <c r="D49" s="8" t="s">
        <v>17</v>
      </c>
      <c r="E49" s="15" t="s">
        <v>22</v>
      </c>
      <c r="F49" s="7">
        <f>INDEX(Ladder!$B$6:$G$21,MATCH($D49,Ladder!$A$6:$A$21,0),IF($B49=2026,1,IF($B49=2027,3,5)))+($C49-1)*16</f>
        <v>20</v>
      </c>
      <c r="G49" s="7">
        <f>INDEX(Ladder!$B$6:$G$21,MATCH($D49,Ladder!$A$6:$A$21,0),IF($B49=2026,2,IF($B49=2027,4,6)))+($C49-1)*16</f>
        <v>20</v>
      </c>
      <c r="H49" s="7" t="str">
        <f t="shared" si="0"/>
        <v>#20</v>
      </c>
      <c r="I49" s="9">
        <f>ROUND(AVERAGEIFS('Pick Values'!$B$2:$B$81,'Pick Values'!$A$2:$A$81,"&gt;="&amp;$F49,'Pick Values'!$A$2:$A$81,"&lt;="&amp;$G49),0)</f>
        <v>807</v>
      </c>
      <c r="J49" s="9">
        <f>IF($B49=2027,ROUND($I49*Ladder!$B$2,0),IF($B49=2028,ROUND($I49*Ladder!$B$3,0),$I49))</f>
        <v>726</v>
      </c>
    </row>
    <row r="50" spans="1:10" x14ac:dyDescent="0.3">
      <c r="A50" s="7">
        <v>48</v>
      </c>
      <c r="B50" s="7">
        <v>2027</v>
      </c>
      <c r="C50" s="7">
        <v>3</v>
      </c>
      <c r="D50" s="8" t="s">
        <v>17</v>
      </c>
      <c r="E50" s="15" t="s">
        <v>16</v>
      </c>
      <c r="F50" s="7">
        <f>INDEX(Ladder!$B$6:$G$21,MATCH($D50,Ladder!$A$6:$A$21,0),IF($B50=2026,1,IF($B50=2027,3,5)))+($C50-1)*16</f>
        <v>36</v>
      </c>
      <c r="G50" s="7">
        <f>INDEX(Ladder!$B$6:$G$21,MATCH($D50,Ladder!$A$6:$A$21,0),IF($B50=2026,2,IF($B50=2027,4,6)))+($C50-1)*16</f>
        <v>36</v>
      </c>
      <c r="H50" s="7" t="str">
        <f t="shared" si="0"/>
        <v>#36</v>
      </c>
      <c r="I50" s="9">
        <f>ROUND(AVERAGEIFS('Pick Values'!$B$2:$B$81,'Pick Values'!$A$2:$A$81,"&gt;="&amp;$F50,'Pick Values'!$A$2:$A$81,"&lt;="&amp;$G50),0)</f>
        <v>525</v>
      </c>
      <c r="J50" s="9">
        <f>IF($B50=2027,ROUND($I50*Ladder!$B$2,0),IF($B50=2028,ROUND($I50*Ladder!$B$3,0),$I50))</f>
        <v>473</v>
      </c>
    </row>
    <row r="51" spans="1:10" x14ac:dyDescent="0.3">
      <c r="A51" s="7">
        <v>49</v>
      </c>
      <c r="B51" s="7">
        <v>2027</v>
      </c>
      <c r="C51" s="7">
        <v>4</v>
      </c>
      <c r="D51" s="8" t="s">
        <v>17</v>
      </c>
      <c r="E51" s="15" t="s">
        <v>17</v>
      </c>
      <c r="F51" s="7">
        <f>INDEX(Ladder!$B$6:$G$21,MATCH($D51,Ladder!$A$6:$A$21,0),IF($B51=2026,1,IF($B51=2027,3,5)))+($C51-1)*16</f>
        <v>52</v>
      </c>
      <c r="G51" s="7">
        <f>INDEX(Ladder!$B$6:$G$21,MATCH($D51,Ladder!$A$6:$A$21,0),IF($B51=2026,2,IF($B51=2027,4,6)))+($C51-1)*16</f>
        <v>52</v>
      </c>
      <c r="H51" s="7" t="str">
        <f t="shared" si="0"/>
        <v>#52</v>
      </c>
      <c r="I51" s="9">
        <f>ROUND(AVERAGEIFS('Pick Values'!$B$2:$B$81,'Pick Values'!$A$2:$A$81,"&gt;="&amp;$F51,'Pick Values'!$A$2:$A$81,"&lt;="&amp;$G51),0)</f>
        <v>256</v>
      </c>
      <c r="J51" s="9">
        <f>IF($B51=2027,ROUND($I51*Ladder!$B$2,0),IF($B51=2028,ROUND($I51*Ladder!$B$3,0),$I51))</f>
        <v>230</v>
      </c>
    </row>
    <row r="52" spans="1:10" x14ac:dyDescent="0.3">
      <c r="A52" s="7">
        <v>50</v>
      </c>
      <c r="B52" s="7">
        <v>2027</v>
      </c>
      <c r="C52" s="7">
        <v>5</v>
      </c>
      <c r="D52" s="8" t="s">
        <v>17</v>
      </c>
      <c r="E52" s="15" t="s">
        <v>15</v>
      </c>
      <c r="F52" s="7">
        <f>INDEX(Ladder!$B$6:$G$21,MATCH($D52,Ladder!$A$6:$A$21,0),IF($B52=2026,1,IF($B52=2027,3,5)))+($C52-1)*16</f>
        <v>68</v>
      </c>
      <c r="G52" s="7">
        <f>INDEX(Ladder!$B$6:$G$21,MATCH($D52,Ladder!$A$6:$A$21,0),IF($B52=2026,2,IF($B52=2027,4,6)))+($C52-1)*16</f>
        <v>68</v>
      </c>
      <c r="H52" s="7" t="str">
        <f t="shared" si="0"/>
        <v>#68</v>
      </c>
      <c r="I52" s="9">
        <f>ROUND(AVERAGEIFS('Pick Values'!$B$2:$B$81,'Pick Values'!$A$2:$A$81,"&gt;="&amp;$F52,'Pick Values'!$A$2:$A$81,"&lt;="&amp;$G52),0)</f>
        <v>0</v>
      </c>
      <c r="J52" s="9">
        <f>IF($B52=2027,ROUND($I52*Ladder!$B$2,0),IF($B52=2028,ROUND($I52*Ladder!$B$3,0),$I52))</f>
        <v>0</v>
      </c>
    </row>
    <row r="53" spans="1:10" x14ac:dyDescent="0.3">
      <c r="A53" s="7">
        <v>51</v>
      </c>
      <c r="B53" s="7">
        <v>2026</v>
      </c>
      <c r="C53" s="7">
        <v>1</v>
      </c>
      <c r="D53" s="8" t="s">
        <v>18</v>
      </c>
      <c r="E53" s="15" t="s">
        <v>20</v>
      </c>
      <c r="F53" s="7">
        <f>INDEX(Ladder!$B$6:$G$21,MATCH($D53,Ladder!$A$6:$A$21,0),IF($B53=2026,1,IF($B53=2027,3,5)))+($C53-1)*16</f>
        <v>2</v>
      </c>
      <c r="G53" s="7">
        <f>INDEX(Ladder!$B$6:$G$21,MATCH($D53,Ladder!$A$6:$A$21,0),IF($B53=2026,2,IF($B53=2027,4,6)))+($C53-1)*16</f>
        <v>2</v>
      </c>
      <c r="H53" s="7" t="str">
        <f t="shared" si="0"/>
        <v>#2</v>
      </c>
      <c r="I53" s="9">
        <f>ROUND(AVERAGEIFS('Pick Values'!$B$2:$B$81,'Pick Values'!$A$2:$A$81,"&gt;="&amp;$F53,'Pick Values'!$A$2:$A$81,"&lt;="&amp;$G53),0)</f>
        <v>2733</v>
      </c>
      <c r="J53" s="9">
        <f>IF($B53=2027,ROUND($I53*Ladder!$B$2,0),IF($B53=2028,ROUND($I53*Ladder!$B$3,0),$I53))</f>
        <v>2733</v>
      </c>
    </row>
    <row r="54" spans="1:10" x14ac:dyDescent="0.3">
      <c r="A54" s="7">
        <v>52</v>
      </c>
      <c r="B54" s="7">
        <v>2026</v>
      </c>
      <c r="C54" s="7">
        <v>2</v>
      </c>
      <c r="D54" s="8" t="s">
        <v>18</v>
      </c>
      <c r="E54" s="15" t="s">
        <v>20</v>
      </c>
      <c r="F54" s="7">
        <f>INDEX(Ladder!$B$6:$G$21,MATCH($D54,Ladder!$A$6:$A$21,0),IF($B54=2026,1,IF($B54=2027,3,5)))+($C54-1)*16</f>
        <v>18</v>
      </c>
      <c r="G54" s="7">
        <f>INDEX(Ladder!$B$6:$G$21,MATCH($D54,Ladder!$A$6:$A$21,0),IF($B54=2026,2,IF($B54=2027,4,6)))+($C54-1)*16</f>
        <v>18</v>
      </c>
      <c r="H54" s="7" t="str">
        <f t="shared" si="0"/>
        <v>#18</v>
      </c>
      <c r="I54" s="9">
        <f>ROUND(AVERAGEIFS('Pick Values'!$B$2:$B$81,'Pick Values'!$A$2:$A$81,"&gt;="&amp;$F54,'Pick Values'!$A$2:$A$81,"&lt;="&amp;$G54),0)</f>
        <v>811</v>
      </c>
      <c r="J54" s="9">
        <f>IF($B54=2027,ROUND($I54*Ladder!$B$2,0),IF($B54=2028,ROUND($I54*Ladder!$B$3,0),$I54))</f>
        <v>811</v>
      </c>
    </row>
    <row r="55" spans="1:10" x14ac:dyDescent="0.3">
      <c r="A55" s="7">
        <v>53</v>
      </c>
      <c r="B55" s="7">
        <v>2026</v>
      </c>
      <c r="C55" s="7">
        <v>3</v>
      </c>
      <c r="D55" s="8" t="s">
        <v>18</v>
      </c>
      <c r="E55" s="15" t="s">
        <v>18</v>
      </c>
      <c r="F55" s="7">
        <f>INDEX(Ladder!$B$6:$G$21,MATCH($D55,Ladder!$A$6:$A$21,0),IF($B55=2026,1,IF($B55=2027,3,5)))+($C55-1)*16</f>
        <v>34</v>
      </c>
      <c r="G55" s="7">
        <f>INDEX(Ladder!$B$6:$G$21,MATCH($D55,Ladder!$A$6:$A$21,0),IF($B55=2026,2,IF($B55=2027,4,6)))+($C55-1)*16</f>
        <v>34</v>
      </c>
      <c r="H55" s="7" t="str">
        <f t="shared" si="0"/>
        <v>#34</v>
      </c>
      <c r="I55" s="9">
        <f>ROUND(AVERAGEIFS('Pick Values'!$B$2:$B$81,'Pick Values'!$A$2:$A$81,"&gt;="&amp;$F55,'Pick Values'!$A$2:$A$81,"&lt;="&amp;$G55),0)</f>
        <v>546</v>
      </c>
      <c r="J55" s="9">
        <f>IF($B55=2027,ROUND($I55*Ladder!$B$2,0),IF($B55=2028,ROUND($I55*Ladder!$B$3,0),$I55))</f>
        <v>546</v>
      </c>
    </row>
    <row r="56" spans="1:10" x14ac:dyDescent="0.3">
      <c r="A56" s="7">
        <v>54</v>
      </c>
      <c r="B56" s="7">
        <v>2026</v>
      </c>
      <c r="C56" s="7">
        <v>4</v>
      </c>
      <c r="D56" s="8" t="s">
        <v>18</v>
      </c>
      <c r="E56" s="15" t="s">
        <v>28</v>
      </c>
      <c r="F56" s="7">
        <f>INDEX(Ladder!$B$6:$G$21,MATCH($D56,Ladder!$A$6:$A$21,0),IF($B56=2026,1,IF($B56=2027,3,5)))+($C56-1)*16</f>
        <v>50</v>
      </c>
      <c r="G56" s="7">
        <f>INDEX(Ladder!$B$6:$G$21,MATCH($D56,Ladder!$A$6:$A$21,0),IF($B56=2026,2,IF($B56=2027,4,6)))+($C56-1)*16</f>
        <v>50</v>
      </c>
      <c r="H56" s="7" t="str">
        <f t="shared" si="0"/>
        <v>#50</v>
      </c>
      <c r="I56" s="9">
        <f>ROUND(AVERAGEIFS('Pick Values'!$B$2:$B$81,'Pick Values'!$A$2:$A$81,"&gt;="&amp;$F56,'Pick Values'!$A$2:$A$81,"&lt;="&amp;$G56),0)</f>
        <v>274</v>
      </c>
      <c r="J56" s="9">
        <f>IF($B56=2027,ROUND($I56*Ladder!$B$2,0),IF($B56=2028,ROUND($I56*Ladder!$B$3,0),$I56))</f>
        <v>274</v>
      </c>
    </row>
    <row r="57" spans="1:10" x14ac:dyDescent="0.3">
      <c r="A57" s="7">
        <v>55</v>
      </c>
      <c r="B57" s="7">
        <v>2026</v>
      </c>
      <c r="C57" s="7">
        <v>5</v>
      </c>
      <c r="D57" s="8" t="s">
        <v>18</v>
      </c>
      <c r="E57" s="15" t="s">
        <v>18</v>
      </c>
      <c r="F57" s="7">
        <f>INDEX(Ladder!$B$6:$G$21,MATCH($D57,Ladder!$A$6:$A$21,0),IF($B57=2026,1,IF($B57=2027,3,5)))+($C57-1)*16</f>
        <v>66</v>
      </c>
      <c r="G57" s="7">
        <f>INDEX(Ladder!$B$6:$G$21,MATCH($D57,Ladder!$A$6:$A$21,0),IF($B57=2026,2,IF($B57=2027,4,6)))+($C57-1)*16</f>
        <v>66</v>
      </c>
      <c r="H57" s="7" t="str">
        <f t="shared" si="0"/>
        <v>#66</v>
      </c>
      <c r="I57" s="9">
        <f>ROUND(AVERAGEIFS('Pick Values'!$B$2:$B$81,'Pick Values'!$A$2:$A$81,"&gt;="&amp;$F57,'Pick Values'!$A$2:$A$81,"&lt;="&amp;$G57),0)</f>
        <v>0</v>
      </c>
      <c r="J57" s="9">
        <f>IF($B57=2027,ROUND($I57*Ladder!$B$2,0),IF($B57=2028,ROUND($I57*Ladder!$B$3,0),$I57))</f>
        <v>0</v>
      </c>
    </row>
    <row r="58" spans="1:10" x14ac:dyDescent="0.3">
      <c r="A58" s="7">
        <v>56</v>
      </c>
      <c r="B58" s="7">
        <v>2027</v>
      </c>
      <c r="C58" s="7">
        <v>1</v>
      </c>
      <c r="D58" s="8" t="s">
        <v>18</v>
      </c>
      <c r="E58" s="15" t="s">
        <v>13</v>
      </c>
      <c r="F58" s="7">
        <f>INDEX(Ladder!$B$6:$G$21,MATCH($D58,Ladder!$A$6:$A$21,0),IF($B58=2026,1,IF($B58=2027,3,5)))+($C58-1)*16</f>
        <v>2</v>
      </c>
      <c r="G58" s="7">
        <f>INDEX(Ladder!$B$6:$G$21,MATCH($D58,Ladder!$A$6:$A$21,0),IF($B58=2026,2,IF($B58=2027,4,6)))+($C58-1)*16</f>
        <v>2</v>
      </c>
      <c r="H58" s="7" t="str">
        <f t="shared" si="0"/>
        <v>#2</v>
      </c>
      <c r="I58" s="9">
        <f>ROUND(AVERAGEIFS('Pick Values'!$B$2:$B$81,'Pick Values'!$A$2:$A$81,"&gt;="&amp;$F58,'Pick Values'!$A$2:$A$81,"&lt;="&amp;$G58),0)</f>
        <v>2733</v>
      </c>
      <c r="J58" s="9">
        <f>IF($B58=2027,ROUND($I58*Ladder!$B$2,0),IF($B58=2028,ROUND($I58*Ladder!$B$3,0),$I58))</f>
        <v>2460</v>
      </c>
    </row>
    <row r="59" spans="1:10" x14ac:dyDescent="0.3">
      <c r="A59" s="7">
        <v>57</v>
      </c>
      <c r="B59" s="7">
        <v>2027</v>
      </c>
      <c r="C59" s="7">
        <v>2</v>
      </c>
      <c r="D59" s="8" t="s">
        <v>18</v>
      </c>
      <c r="E59" s="15" t="s">
        <v>18</v>
      </c>
      <c r="F59" s="7">
        <f>INDEX(Ladder!$B$6:$G$21,MATCH($D59,Ladder!$A$6:$A$21,0),IF($B59=2026,1,IF($B59=2027,3,5)))+($C59-1)*16</f>
        <v>18</v>
      </c>
      <c r="G59" s="7">
        <f>INDEX(Ladder!$B$6:$G$21,MATCH($D59,Ladder!$A$6:$A$21,0),IF($B59=2026,2,IF($B59=2027,4,6)))+($C59-1)*16</f>
        <v>18</v>
      </c>
      <c r="H59" s="7" t="str">
        <f t="shared" si="0"/>
        <v>#18</v>
      </c>
      <c r="I59" s="9">
        <f>ROUND(AVERAGEIFS('Pick Values'!$B$2:$B$81,'Pick Values'!$A$2:$A$81,"&gt;="&amp;$F59,'Pick Values'!$A$2:$A$81,"&lt;="&amp;$G59),0)</f>
        <v>811</v>
      </c>
      <c r="J59" s="9">
        <f>IF($B59=2027,ROUND($I59*Ladder!$B$2,0),IF($B59=2028,ROUND($I59*Ladder!$B$3,0),$I59))</f>
        <v>730</v>
      </c>
    </row>
    <row r="60" spans="1:10" x14ac:dyDescent="0.3">
      <c r="A60" s="7">
        <v>58</v>
      </c>
      <c r="B60" s="7">
        <v>2027</v>
      </c>
      <c r="C60" s="7">
        <v>3</v>
      </c>
      <c r="D60" s="8" t="s">
        <v>18</v>
      </c>
      <c r="E60" s="15" t="s">
        <v>18</v>
      </c>
      <c r="F60" s="7">
        <f>INDEX(Ladder!$B$6:$G$21,MATCH($D60,Ladder!$A$6:$A$21,0),IF($B60=2026,1,IF($B60=2027,3,5)))+($C60-1)*16</f>
        <v>34</v>
      </c>
      <c r="G60" s="7">
        <f>INDEX(Ladder!$B$6:$G$21,MATCH($D60,Ladder!$A$6:$A$21,0),IF($B60=2026,2,IF($B60=2027,4,6)))+($C60-1)*16</f>
        <v>34</v>
      </c>
      <c r="H60" s="7" t="str">
        <f t="shared" si="0"/>
        <v>#34</v>
      </c>
      <c r="I60" s="9">
        <f>ROUND(AVERAGEIFS('Pick Values'!$B$2:$B$81,'Pick Values'!$A$2:$A$81,"&gt;="&amp;$F60,'Pick Values'!$A$2:$A$81,"&lt;="&amp;$G60),0)</f>
        <v>546</v>
      </c>
      <c r="J60" s="9">
        <f>IF($B60=2027,ROUND($I60*Ladder!$B$2,0),IF($B60=2028,ROUND($I60*Ladder!$B$3,0),$I60))</f>
        <v>491</v>
      </c>
    </row>
    <row r="61" spans="1:10" x14ac:dyDescent="0.3">
      <c r="A61" s="7">
        <v>59</v>
      </c>
      <c r="B61" s="7">
        <v>2027</v>
      </c>
      <c r="C61" s="7">
        <v>4</v>
      </c>
      <c r="D61" s="8" t="s">
        <v>18</v>
      </c>
      <c r="E61" s="15" t="s">
        <v>18</v>
      </c>
      <c r="F61" s="7">
        <f>INDEX(Ladder!$B$6:$G$21,MATCH($D61,Ladder!$A$6:$A$21,0),IF($B61=2026,1,IF($B61=2027,3,5)))+($C61-1)*16</f>
        <v>50</v>
      </c>
      <c r="G61" s="7">
        <f>INDEX(Ladder!$B$6:$G$21,MATCH($D61,Ladder!$A$6:$A$21,0),IF($B61=2026,2,IF($B61=2027,4,6)))+($C61-1)*16</f>
        <v>50</v>
      </c>
      <c r="H61" s="7" t="str">
        <f t="shared" si="0"/>
        <v>#50</v>
      </c>
      <c r="I61" s="9">
        <f>ROUND(AVERAGEIFS('Pick Values'!$B$2:$B$81,'Pick Values'!$A$2:$A$81,"&gt;="&amp;$F61,'Pick Values'!$A$2:$A$81,"&lt;="&amp;$G61),0)</f>
        <v>274</v>
      </c>
      <c r="J61" s="9">
        <f>IF($B61=2027,ROUND($I61*Ladder!$B$2,0),IF($B61=2028,ROUND($I61*Ladder!$B$3,0),$I61))</f>
        <v>247</v>
      </c>
    </row>
    <row r="62" spans="1:10" x14ac:dyDescent="0.3">
      <c r="A62" s="7">
        <v>60</v>
      </c>
      <c r="B62" s="7">
        <v>2027</v>
      </c>
      <c r="C62" s="7">
        <v>5</v>
      </c>
      <c r="D62" s="8" t="s">
        <v>18</v>
      </c>
      <c r="E62" s="15" t="s">
        <v>16</v>
      </c>
      <c r="F62" s="7">
        <f>INDEX(Ladder!$B$6:$G$21,MATCH($D62,Ladder!$A$6:$A$21,0),IF($B62=2026,1,IF($B62=2027,3,5)))+($C62-1)*16</f>
        <v>66</v>
      </c>
      <c r="G62" s="7">
        <f>INDEX(Ladder!$B$6:$G$21,MATCH($D62,Ladder!$A$6:$A$21,0),IF($B62=2026,2,IF($B62=2027,4,6)))+($C62-1)*16</f>
        <v>66</v>
      </c>
      <c r="H62" s="7" t="str">
        <f t="shared" si="0"/>
        <v>#66</v>
      </c>
      <c r="I62" s="9">
        <f>ROUND(AVERAGEIFS('Pick Values'!$B$2:$B$81,'Pick Values'!$A$2:$A$81,"&gt;="&amp;$F62,'Pick Values'!$A$2:$A$81,"&lt;="&amp;$G62),0)</f>
        <v>0</v>
      </c>
      <c r="J62" s="9">
        <f>IF($B62=2027,ROUND($I62*Ladder!$B$2,0),IF($B62=2028,ROUND($I62*Ladder!$B$3,0),$I62))</f>
        <v>0</v>
      </c>
    </row>
    <row r="63" spans="1:10" x14ac:dyDescent="0.3">
      <c r="A63" s="7">
        <v>61</v>
      </c>
      <c r="B63" s="7">
        <v>2026</v>
      </c>
      <c r="C63" s="7">
        <v>1</v>
      </c>
      <c r="D63" s="8" t="s">
        <v>19</v>
      </c>
      <c r="E63" s="15" t="s">
        <v>13</v>
      </c>
      <c r="F63" s="7">
        <f>INDEX(Ladder!$B$6:$G$21,MATCH($D63,Ladder!$A$6:$A$21,0),IF($B63=2026,1,IF($B63=2027,3,5)))+($C63-1)*16</f>
        <v>13</v>
      </c>
      <c r="G63" s="7">
        <f>INDEX(Ladder!$B$6:$G$21,MATCH($D63,Ladder!$A$6:$A$21,0),IF($B63=2026,2,IF($B63=2027,4,6)))+($C63-1)*16</f>
        <v>13</v>
      </c>
      <c r="H63" s="7" t="str">
        <f t="shared" si="0"/>
        <v>#13</v>
      </c>
      <c r="I63" s="9">
        <f>ROUND(AVERAGEIFS('Pick Values'!$B$2:$B$81,'Pick Values'!$A$2:$A$81,"&gt;="&amp;$F63,'Pick Values'!$A$2:$A$81,"&lt;="&amp;$G63),0)</f>
        <v>1131</v>
      </c>
      <c r="J63" s="9">
        <f>IF($B63=2027,ROUND($I63*Ladder!$B$2,0),IF($B63=2028,ROUND($I63*Ladder!$B$3,0),$I63))</f>
        <v>1131</v>
      </c>
    </row>
    <row r="64" spans="1:10" x14ac:dyDescent="0.3">
      <c r="A64" s="7">
        <v>62</v>
      </c>
      <c r="B64" s="7">
        <v>2026</v>
      </c>
      <c r="C64" s="7">
        <v>2</v>
      </c>
      <c r="D64" s="8" t="s">
        <v>19</v>
      </c>
      <c r="E64" s="15" t="s">
        <v>15</v>
      </c>
      <c r="F64" s="7">
        <f>INDEX(Ladder!$B$6:$G$21,MATCH($D64,Ladder!$A$6:$A$21,0),IF($B64=2026,1,IF($B64=2027,3,5)))+($C64-1)*16</f>
        <v>29</v>
      </c>
      <c r="G64" s="7">
        <f>INDEX(Ladder!$B$6:$G$21,MATCH($D64,Ladder!$A$6:$A$21,0),IF($B64=2026,2,IF($B64=2027,4,6)))+($C64-1)*16</f>
        <v>29</v>
      </c>
      <c r="H64" s="7" t="str">
        <f t="shared" si="0"/>
        <v>#29</v>
      </c>
      <c r="I64" s="9">
        <f>ROUND(AVERAGEIFS('Pick Values'!$B$2:$B$81,'Pick Values'!$A$2:$A$81,"&gt;="&amp;$F64,'Pick Values'!$A$2:$A$81,"&lt;="&amp;$G64),0)</f>
        <v>615</v>
      </c>
      <c r="J64" s="9">
        <f>IF($B64=2027,ROUND($I64*Ladder!$B$2,0),IF($B64=2028,ROUND($I64*Ladder!$B$3,0),$I64))</f>
        <v>615</v>
      </c>
    </row>
    <row r="65" spans="1:10" x14ac:dyDescent="0.3">
      <c r="A65" s="7">
        <v>63</v>
      </c>
      <c r="B65" s="7">
        <v>2026</v>
      </c>
      <c r="C65" s="7">
        <v>3</v>
      </c>
      <c r="D65" s="8" t="s">
        <v>19</v>
      </c>
      <c r="E65" s="15" t="s">
        <v>18</v>
      </c>
      <c r="F65" s="7">
        <f>INDEX(Ladder!$B$6:$G$21,MATCH($D65,Ladder!$A$6:$A$21,0),IF($B65=2026,1,IF($B65=2027,3,5)))+($C65-1)*16</f>
        <v>45</v>
      </c>
      <c r="G65" s="7">
        <f>INDEX(Ladder!$B$6:$G$21,MATCH($D65,Ladder!$A$6:$A$21,0),IF($B65=2026,2,IF($B65=2027,4,6)))+($C65-1)*16</f>
        <v>45</v>
      </c>
      <c r="H65" s="7" t="str">
        <f t="shared" si="0"/>
        <v>#45</v>
      </c>
      <c r="I65" s="9">
        <f>ROUND(AVERAGEIFS('Pick Values'!$B$2:$B$81,'Pick Values'!$A$2:$A$81,"&gt;="&amp;$F65,'Pick Values'!$A$2:$A$81,"&lt;="&amp;$G65),0)</f>
        <v>360</v>
      </c>
      <c r="J65" s="9">
        <f>IF($B65=2027,ROUND($I65*Ladder!$B$2,0),IF($B65=2028,ROUND($I65*Ladder!$B$3,0),$I65))</f>
        <v>360</v>
      </c>
    </row>
    <row r="66" spans="1:10" x14ac:dyDescent="0.3">
      <c r="A66" s="7">
        <v>64</v>
      </c>
      <c r="B66" s="7">
        <v>2026</v>
      </c>
      <c r="C66" s="7">
        <v>4</v>
      </c>
      <c r="D66" s="8" t="s">
        <v>19</v>
      </c>
      <c r="E66" s="15" t="s">
        <v>17</v>
      </c>
      <c r="F66" s="7">
        <f>INDEX(Ladder!$B$6:$G$21,MATCH($D66,Ladder!$A$6:$A$21,0),IF($B66=2026,1,IF($B66=2027,3,5)))+($C66-1)*16</f>
        <v>61</v>
      </c>
      <c r="G66" s="7">
        <f>INDEX(Ladder!$B$6:$G$21,MATCH($D66,Ladder!$A$6:$A$21,0),IF($B66=2026,2,IF($B66=2027,4,6)))+($C66-1)*16</f>
        <v>61</v>
      </c>
      <c r="H66" s="7" t="str">
        <f t="shared" si="0"/>
        <v>#61</v>
      </c>
      <c r="I66" s="9">
        <f>ROUND(AVERAGEIFS('Pick Values'!$B$2:$B$81,'Pick Values'!$A$2:$A$81,"&gt;="&amp;$F66,'Pick Values'!$A$2:$A$81,"&lt;="&amp;$G66),0)</f>
        <v>185</v>
      </c>
      <c r="J66" s="9">
        <f>IF($B66=2027,ROUND($I66*Ladder!$B$2,0),IF($B66=2028,ROUND($I66*Ladder!$B$3,0),$I66))</f>
        <v>185</v>
      </c>
    </row>
    <row r="67" spans="1:10" x14ac:dyDescent="0.3">
      <c r="A67" s="7">
        <v>65</v>
      </c>
      <c r="B67" s="7">
        <v>2026</v>
      </c>
      <c r="C67" s="7">
        <v>5</v>
      </c>
      <c r="D67" s="8" t="s">
        <v>19</v>
      </c>
      <c r="E67" s="15" t="s">
        <v>19</v>
      </c>
      <c r="F67" s="7">
        <f>INDEX(Ladder!$B$6:$G$21,MATCH($D67,Ladder!$A$6:$A$21,0),IF($B67=2026,1,IF($B67=2027,3,5)))+($C67-1)*16</f>
        <v>77</v>
      </c>
      <c r="G67" s="7">
        <f>INDEX(Ladder!$B$6:$G$21,MATCH($D67,Ladder!$A$6:$A$21,0),IF($B67=2026,2,IF($B67=2027,4,6)))+($C67-1)*16</f>
        <v>77</v>
      </c>
      <c r="H67" s="7" t="str">
        <f t="shared" ref="H67:H130" si="1">IF($F67=$G67,"#"&amp;$F67,"#"&amp;$F67&amp;"-"&amp;$G67)</f>
        <v>#77</v>
      </c>
      <c r="I67" s="9">
        <f>ROUND(AVERAGEIFS('Pick Values'!$B$2:$B$81,'Pick Values'!$A$2:$A$81,"&gt;="&amp;$F67,'Pick Values'!$A$2:$A$81,"&lt;="&amp;$G67),0)</f>
        <v>0</v>
      </c>
      <c r="J67" s="9">
        <f>IF($B67=2027,ROUND($I67*Ladder!$B$2,0),IF($B67=2028,ROUND($I67*Ladder!$B$3,0),$I67))</f>
        <v>0</v>
      </c>
    </row>
    <row r="68" spans="1:10" x14ac:dyDescent="0.3">
      <c r="A68" s="7">
        <v>66</v>
      </c>
      <c r="B68" s="7">
        <v>2027</v>
      </c>
      <c r="C68" s="7">
        <v>1</v>
      </c>
      <c r="D68" s="8" t="s">
        <v>19</v>
      </c>
      <c r="E68" s="15" t="s">
        <v>16</v>
      </c>
      <c r="F68" s="7">
        <f>INDEX(Ladder!$B$6:$G$21,MATCH($D68,Ladder!$A$6:$A$21,0),IF($B68=2026,1,IF($B68=2027,3,5)))+($C68-1)*16</f>
        <v>13</v>
      </c>
      <c r="G68" s="7">
        <f>INDEX(Ladder!$B$6:$G$21,MATCH($D68,Ladder!$A$6:$A$21,0),IF($B68=2026,2,IF($B68=2027,4,6)))+($C68-1)*16</f>
        <v>13</v>
      </c>
      <c r="H68" s="7" t="str">
        <f t="shared" si="1"/>
        <v>#13</v>
      </c>
      <c r="I68" s="9">
        <f>ROUND(AVERAGEIFS('Pick Values'!$B$2:$B$81,'Pick Values'!$A$2:$A$81,"&gt;="&amp;$F68,'Pick Values'!$A$2:$A$81,"&lt;="&amp;$G68),0)</f>
        <v>1131</v>
      </c>
      <c r="J68" s="9">
        <f>IF($B68=2027,ROUND($I68*Ladder!$B$2,0),IF($B68=2028,ROUND($I68*Ladder!$B$3,0),$I68))</f>
        <v>1018</v>
      </c>
    </row>
    <row r="69" spans="1:10" x14ac:dyDescent="0.3">
      <c r="A69" s="7">
        <v>67</v>
      </c>
      <c r="B69" s="7">
        <v>2027</v>
      </c>
      <c r="C69" s="7">
        <v>2</v>
      </c>
      <c r="D69" s="8" t="s">
        <v>19</v>
      </c>
      <c r="E69" s="15" t="s">
        <v>16</v>
      </c>
      <c r="F69" s="7">
        <f>INDEX(Ladder!$B$6:$G$21,MATCH($D69,Ladder!$A$6:$A$21,0),IF($B69=2026,1,IF($B69=2027,3,5)))+($C69-1)*16</f>
        <v>29</v>
      </c>
      <c r="G69" s="7">
        <f>INDEX(Ladder!$B$6:$G$21,MATCH($D69,Ladder!$A$6:$A$21,0),IF($B69=2026,2,IF($B69=2027,4,6)))+($C69-1)*16</f>
        <v>29</v>
      </c>
      <c r="H69" s="7" t="str">
        <f t="shared" si="1"/>
        <v>#29</v>
      </c>
      <c r="I69" s="9">
        <f>ROUND(AVERAGEIFS('Pick Values'!$B$2:$B$81,'Pick Values'!$A$2:$A$81,"&gt;="&amp;$F69,'Pick Values'!$A$2:$A$81,"&lt;="&amp;$G69),0)</f>
        <v>615</v>
      </c>
      <c r="J69" s="9">
        <f>IF($B69=2027,ROUND($I69*Ladder!$B$2,0),IF($B69=2028,ROUND($I69*Ladder!$B$3,0),$I69))</f>
        <v>554</v>
      </c>
    </row>
    <row r="70" spans="1:10" x14ac:dyDescent="0.3">
      <c r="A70" s="7">
        <v>68</v>
      </c>
      <c r="B70" s="7">
        <v>2027</v>
      </c>
      <c r="C70" s="7">
        <v>3</v>
      </c>
      <c r="D70" s="8" t="s">
        <v>19</v>
      </c>
      <c r="E70" s="15" t="s">
        <v>26</v>
      </c>
      <c r="F70" s="7">
        <f>INDEX(Ladder!$B$6:$G$21,MATCH($D70,Ladder!$A$6:$A$21,0),IF($B70=2026,1,IF($B70=2027,3,5)))+($C70-1)*16</f>
        <v>45</v>
      </c>
      <c r="G70" s="7">
        <f>INDEX(Ladder!$B$6:$G$21,MATCH($D70,Ladder!$A$6:$A$21,0),IF($B70=2026,2,IF($B70=2027,4,6)))+($C70-1)*16</f>
        <v>45</v>
      </c>
      <c r="H70" s="7" t="str">
        <f t="shared" si="1"/>
        <v>#45</v>
      </c>
      <c r="I70" s="9">
        <f>ROUND(AVERAGEIFS('Pick Values'!$B$2:$B$81,'Pick Values'!$A$2:$A$81,"&gt;="&amp;$F70,'Pick Values'!$A$2:$A$81,"&lt;="&amp;$G70),0)</f>
        <v>360</v>
      </c>
      <c r="J70" s="9">
        <f>IF($B70=2027,ROUND($I70*Ladder!$B$2,0),IF($B70=2028,ROUND($I70*Ladder!$B$3,0),$I70))</f>
        <v>324</v>
      </c>
    </row>
    <row r="71" spans="1:10" x14ac:dyDescent="0.3">
      <c r="A71" s="7">
        <v>69</v>
      </c>
      <c r="B71" s="7">
        <v>2027</v>
      </c>
      <c r="C71" s="7">
        <v>4</v>
      </c>
      <c r="D71" s="8" t="s">
        <v>19</v>
      </c>
      <c r="E71" s="15" t="s">
        <v>15</v>
      </c>
      <c r="F71" s="7">
        <f>INDEX(Ladder!$B$6:$G$21,MATCH($D71,Ladder!$A$6:$A$21,0),IF($B71=2026,1,IF($B71=2027,3,5)))+($C71-1)*16</f>
        <v>61</v>
      </c>
      <c r="G71" s="7">
        <f>INDEX(Ladder!$B$6:$G$21,MATCH($D71,Ladder!$A$6:$A$21,0),IF($B71=2026,2,IF($B71=2027,4,6)))+($C71-1)*16</f>
        <v>61</v>
      </c>
      <c r="H71" s="7" t="str">
        <f t="shared" si="1"/>
        <v>#61</v>
      </c>
      <c r="I71" s="9">
        <f>ROUND(AVERAGEIFS('Pick Values'!$B$2:$B$81,'Pick Values'!$A$2:$A$81,"&gt;="&amp;$F71,'Pick Values'!$A$2:$A$81,"&lt;="&amp;$G71),0)</f>
        <v>185</v>
      </c>
      <c r="J71" s="9">
        <f>IF($B71=2027,ROUND($I71*Ladder!$B$2,0),IF($B71=2028,ROUND($I71*Ladder!$B$3,0),$I71))</f>
        <v>167</v>
      </c>
    </row>
    <row r="72" spans="1:10" x14ac:dyDescent="0.3">
      <c r="A72" s="7">
        <v>70</v>
      </c>
      <c r="B72" s="7">
        <v>2027</v>
      </c>
      <c r="C72" s="7">
        <v>5</v>
      </c>
      <c r="D72" s="8" t="s">
        <v>19</v>
      </c>
      <c r="E72" s="15" t="s">
        <v>19</v>
      </c>
      <c r="F72" s="7">
        <f>INDEX(Ladder!$B$6:$G$21,MATCH($D72,Ladder!$A$6:$A$21,0),IF($B72=2026,1,IF($B72=2027,3,5)))+($C72-1)*16</f>
        <v>77</v>
      </c>
      <c r="G72" s="7">
        <f>INDEX(Ladder!$B$6:$G$21,MATCH($D72,Ladder!$A$6:$A$21,0),IF($B72=2026,2,IF($B72=2027,4,6)))+($C72-1)*16</f>
        <v>77</v>
      </c>
      <c r="H72" s="7" t="str">
        <f t="shared" si="1"/>
        <v>#77</v>
      </c>
      <c r="I72" s="9">
        <f>ROUND(AVERAGEIFS('Pick Values'!$B$2:$B$81,'Pick Values'!$A$2:$A$81,"&gt;="&amp;$F72,'Pick Values'!$A$2:$A$81,"&lt;="&amp;$G72),0)</f>
        <v>0</v>
      </c>
      <c r="J72" s="9">
        <f>IF($B72=2027,ROUND($I72*Ladder!$B$2,0),IF($B72=2028,ROUND($I72*Ladder!$B$3,0),$I72))</f>
        <v>0</v>
      </c>
    </row>
    <row r="73" spans="1:10" x14ac:dyDescent="0.3">
      <c r="A73" s="7">
        <v>71</v>
      </c>
      <c r="B73" s="7">
        <v>2026</v>
      </c>
      <c r="C73" s="7">
        <v>1</v>
      </c>
      <c r="D73" s="8" t="s">
        <v>20</v>
      </c>
      <c r="E73" s="15" t="s">
        <v>20</v>
      </c>
      <c r="F73" s="7">
        <f>INDEX(Ladder!$B$6:$G$21,MATCH($D73,Ladder!$A$6:$A$21,0),IF($B73=2026,1,IF($B73=2027,3,5)))+($C73-1)*16</f>
        <v>1</v>
      </c>
      <c r="G73" s="7">
        <f>INDEX(Ladder!$B$6:$G$21,MATCH($D73,Ladder!$A$6:$A$21,0),IF($B73=2026,2,IF($B73=2027,4,6)))+($C73-1)*16</f>
        <v>1</v>
      </c>
      <c r="H73" s="7" t="str">
        <f t="shared" si="1"/>
        <v>#1</v>
      </c>
      <c r="I73" s="9">
        <f>ROUND(AVERAGEIFS('Pick Values'!$B$2:$B$81,'Pick Values'!$A$2:$A$81,"&gt;="&amp;$F73,'Pick Values'!$A$2:$A$81,"&lt;="&amp;$G73),0)</f>
        <v>3000</v>
      </c>
      <c r="J73" s="9">
        <f>IF($B73=2027,ROUND($I73*Ladder!$B$2,0),IF($B73=2028,ROUND($I73*Ladder!$B$3,0),$I73))</f>
        <v>3000</v>
      </c>
    </row>
    <row r="74" spans="1:10" x14ac:dyDescent="0.3">
      <c r="A74" s="7">
        <v>72</v>
      </c>
      <c r="B74" s="7">
        <v>2026</v>
      </c>
      <c r="C74" s="7">
        <v>2</v>
      </c>
      <c r="D74" s="8" t="s">
        <v>20</v>
      </c>
      <c r="E74" s="15" t="s">
        <v>20</v>
      </c>
      <c r="F74" s="7">
        <f>INDEX(Ladder!$B$6:$G$21,MATCH($D74,Ladder!$A$6:$A$21,0),IF($B74=2026,1,IF($B74=2027,3,5)))+($C74-1)*16</f>
        <v>17</v>
      </c>
      <c r="G74" s="7">
        <f>INDEX(Ladder!$B$6:$G$21,MATCH($D74,Ladder!$A$6:$A$21,0),IF($B74=2026,2,IF($B74=2027,4,6)))+($C74-1)*16</f>
        <v>17</v>
      </c>
      <c r="H74" s="7" t="str">
        <f t="shared" si="1"/>
        <v>#17</v>
      </c>
      <c r="I74" s="9">
        <f>ROUND(AVERAGEIFS('Pick Values'!$B$2:$B$81,'Pick Values'!$A$2:$A$81,"&gt;="&amp;$F74,'Pick Values'!$A$2:$A$81,"&lt;="&amp;$G74),0)</f>
        <v>812</v>
      </c>
      <c r="J74" s="9">
        <f>IF($B74=2027,ROUND($I74*Ladder!$B$2,0),IF($B74=2028,ROUND($I74*Ladder!$B$3,0),$I74))</f>
        <v>812</v>
      </c>
    </row>
    <row r="75" spans="1:10" x14ac:dyDescent="0.3">
      <c r="A75" s="7">
        <v>73</v>
      </c>
      <c r="B75" s="7">
        <v>2026</v>
      </c>
      <c r="C75" s="7">
        <v>3</v>
      </c>
      <c r="D75" s="8" t="s">
        <v>20</v>
      </c>
      <c r="E75" s="15" t="s">
        <v>20</v>
      </c>
      <c r="F75" s="7">
        <f>INDEX(Ladder!$B$6:$G$21,MATCH($D75,Ladder!$A$6:$A$21,0),IF($B75=2026,1,IF($B75=2027,3,5)))+($C75-1)*16</f>
        <v>33</v>
      </c>
      <c r="G75" s="7">
        <f>INDEX(Ladder!$B$6:$G$21,MATCH($D75,Ladder!$A$6:$A$21,0),IF($B75=2026,2,IF($B75=2027,4,6)))+($C75-1)*16</f>
        <v>33</v>
      </c>
      <c r="H75" s="7" t="str">
        <f t="shared" si="1"/>
        <v>#33</v>
      </c>
      <c r="I75" s="9">
        <f>ROUND(AVERAGEIFS('Pick Values'!$B$2:$B$81,'Pick Values'!$A$2:$A$81,"&gt;="&amp;$F75,'Pick Values'!$A$2:$A$81,"&lt;="&amp;$G75),0)</f>
        <v>558</v>
      </c>
      <c r="J75" s="9">
        <f>IF($B75=2027,ROUND($I75*Ladder!$B$2,0),IF($B75=2028,ROUND($I75*Ladder!$B$3,0),$I75))</f>
        <v>558</v>
      </c>
    </row>
    <row r="76" spans="1:10" x14ac:dyDescent="0.3">
      <c r="A76" s="7">
        <v>74</v>
      </c>
      <c r="B76" s="7">
        <v>2026</v>
      </c>
      <c r="C76" s="7">
        <v>4</v>
      </c>
      <c r="D76" s="8" t="s">
        <v>20</v>
      </c>
      <c r="E76" s="15" t="s">
        <v>13</v>
      </c>
      <c r="F76" s="7">
        <f>INDEX(Ladder!$B$6:$G$21,MATCH($D76,Ladder!$A$6:$A$21,0),IF($B76=2026,1,IF($B76=2027,3,5)))+($C76-1)*16</f>
        <v>49</v>
      </c>
      <c r="G76" s="7">
        <f>INDEX(Ladder!$B$6:$G$21,MATCH($D76,Ladder!$A$6:$A$21,0),IF($B76=2026,2,IF($B76=2027,4,6)))+($C76-1)*16</f>
        <v>49</v>
      </c>
      <c r="H76" s="7" t="str">
        <f t="shared" si="1"/>
        <v>#49</v>
      </c>
      <c r="I76" s="9">
        <f>ROUND(AVERAGEIFS('Pick Values'!$B$2:$B$81,'Pick Values'!$A$2:$A$81,"&gt;="&amp;$F76,'Pick Values'!$A$2:$A$81,"&lt;="&amp;$G76),0)</f>
        <v>286</v>
      </c>
      <c r="J76" s="9">
        <f>IF($B76=2027,ROUND($I76*Ladder!$B$2,0),IF($B76=2028,ROUND($I76*Ladder!$B$3,0),$I76))</f>
        <v>286</v>
      </c>
    </row>
    <row r="77" spans="1:10" x14ac:dyDescent="0.3">
      <c r="A77" s="7">
        <v>75</v>
      </c>
      <c r="B77" s="7">
        <v>2026</v>
      </c>
      <c r="C77" s="7">
        <v>5</v>
      </c>
      <c r="D77" s="8" t="s">
        <v>20</v>
      </c>
      <c r="E77" s="15" t="s">
        <v>24</v>
      </c>
      <c r="F77" s="7">
        <f>INDEX(Ladder!$B$6:$G$21,MATCH($D77,Ladder!$A$6:$A$21,0),IF($B77=2026,1,IF($B77=2027,3,5)))+($C77-1)*16</f>
        <v>65</v>
      </c>
      <c r="G77" s="7">
        <f>INDEX(Ladder!$B$6:$G$21,MATCH($D77,Ladder!$A$6:$A$21,0),IF($B77=2026,2,IF($B77=2027,4,6)))+($C77-1)*16</f>
        <v>65</v>
      </c>
      <c r="H77" s="7" t="str">
        <f t="shared" si="1"/>
        <v>#65</v>
      </c>
      <c r="I77" s="9">
        <f>ROUND(AVERAGEIFS('Pick Values'!$B$2:$B$81,'Pick Values'!$A$2:$A$81,"&gt;="&amp;$F77,'Pick Values'!$A$2:$A$81,"&lt;="&amp;$G77),0)</f>
        <v>0</v>
      </c>
      <c r="J77" s="9">
        <f>IF($B77=2027,ROUND($I77*Ladder!$B$2,0),IF($B77=2028,ROUND($I77*Ladder!$B$3,0),$I77))</f>
        <v>0</v>
      </c>
    </row>
    <row r="78" spans="1:10" x14ac:dyDescent="0.3">
      <c r="A78" s="7">
        <v>76</v>
      </c>
      <c r="B78" s="7">
        <v>2027</v>
      </c>
      <c r="C78" s="7">
        <v>1</v>
      </c>
      <c r="D78" s="8" t="s">
        <v>20</v>
      </c>
      <c r="E78" s="15" t="s">
        <v>20</v>
      </c>
      <c r="F78" s="7">
        <f>INDEX(Ladder!$B$6:$G$21,MATCH($D78,Ladder!$A$6:$A$21,0),IF($B78=2026,1,IF($B78=2027,3,5)))+($C78-1)*16</f>
        <v>1</v>
      </c>
      <c r="G78" s="7">
        <f>INDEX(Ladder!$B$6:$G$21,MATCH($D78,Ladder!$A$6:$A$21,0),IF($B78=2026,2,IF($B78=2027,4,6)))+($C78-1)*16</f>
        <v>1</v>
      </c>
      <c r="H78" s="7" t="str">
        <f t="shared" si="1"/>
        <v>#1</v>
      </c>
      <c r="I78" s="9">
        <f>ROUND(AVERAGEIFS('Pick Values'!$B$2:$B$81,'Pick Values'!$A$2:$A$81,"&gt;="&amp;$F78,'Pick Values'!$A$2:$A$81,"&lt;="&amp;$G78),0)</f>
        <v>3000</v>
      </c>
      <c r="J78" s="9">
        <f>IF($B78=2027,ROUND($I78*Ladder!$B$2,0),IF($B78=2028,ROUND($I78*Ladder!$B$3,0),$I78))</f>
        <v>2700</v>
      </c>
    </row>
    <row r="79" spans="1:10" x14ac:dyDescent="0.3">
      <c r="A79" s="7">
        <v>77</v>
      </c>
      <c r="B79" s="7">
        <v>2027</v>
      </c>
      <c r="C79" s="7">
        <v>2</v>
      </c>
      <c r="D79" s="8" t="s">
        <v>20</v>
      </c>
      <c r="E79" s="15" t="s">
        <v>22</v>
      </c>
      <c r="F79" s="7">
        <f>INDEX(Ladder!$B$6:$G$21,MATCH($D79,Ladder!$A$6:$A$21,0),IF($B79=2026,1,IF($B79=2027,3,5)))+($C79-1)*16</f>
        <v>17</v>
      </c>
      <c r="G79" s="7">
        <f>INDEX(Ladder!$B$6:$G$21,MATCH($D79,Ladder!$A$6:$A$21,0),IF($B79=2026,2,IF($B79=2027,4,6)))+($C79-1)*16</f>
        <v>17</v>
      </c>
      <c r="H79" s="7" t="str">
        <f t="shared" si="1"/>
        <v>#17</v>
      </c>
      <c r="I79" s="9">
        <f>ROUND(AVERAGEIFS('Pick Values'!$B$2:$B$81,'Pick Values'!$A$2:$A$81,"&gt;="&amp;$F79,'Pick Values'!$A$2:$A$81,"&lt;="&amp;$G79),0)</f>
        <v>812</v>
      </c>
      <c r="J79" s="9">
        <f>IF($B79=2027,ROUND($I79*Ladder!$B$2,0),IF($B79=2028,ROUND($I79*Ladder!$B$3,0),$I79))</f>
        <v>731</v>
      </c>
    </row>
    <row r="80" spans="1:10" x14ac:dyDescent="0.3">
      <c r="A80" s="7">
        <v>78</v>
      </c>
      <c r="B80" s="7">
        <v>2027</v>
      </c>
      <c r="C80" s="7">
        <v>3</v>
      </c>
      <c r="D80" s="8" t="s">
        <v>20</v>
      </c>
      <c r="E80" s="15" t="s">
        <v>13</v>
      </c>
      <c r="F80" s="7">
        <f>INDEX(Ladder!$B$6:$G$21,MATCH($D80,Ladder!$A$6:$A$21,0),IF($B80=2026,1,IF($B80=2027,3,5)))+($C80-1)*16</f>
        <v>33</v>
      </c>
      <c r="G80" s="7">
        <f>INDEX(Ladder!$B$6:$G$21,MATCH($D80,Ladder!$A$6:$A$21,0),IF($B80=2026,2,IF($B80=2027,4,6)))+($C80-1)*16</f>
        <v>33</v>
      </c>
      <c r="H80" s="7" t="str">
        <f t="shared" si="1"/>
        <v>#33</v>
      </c>
      <c r="I80" s="9">
        <f>ROUND(AVERAGEIFS('Pick Values'!$B$2:$B$81,'Pick Values'!$A$2:$A$81,"&gt;="&amp;$F80,'Pick Values'!$A$2:$A$81,"&lt;="&amp;$G80),0)</f>
        <v>558</v>
      </c>
      <c r="J80" s="9">
        <f>IF($B80=2027,ROUND($I80*Ladder!$B$2,0),IF($B80=2028,ROUND($I80*Ladder!$B$3,0),$I80))</f>
        <v>502</v>
      </c>
    </row>
    <row r="81" spans="1:10" x14ac:dyDescent="0.3">
      <c r="A81" s="7">
        <v>79</v>
      </c>
      <c r="B81" s="7">
        <v>2027</v>
      </c>
      <c r="C81" s="7">
        <v>4</v>
      </c>
      <c r="D81" s="8" t="s">
        <v>20</v>
      </c>
      <c r="E81" s="15" t="s">
        <v>18</v>
      </c>
      <c r="F81" s="7">
        <f>INDEX(Ladder!$B$6:$G$21,MATCH($D81,Ladder!$A$6:$A$21,0),IF($B81=2026,1,IF($B81=2027,3,5)))+($C81-1)*16</f>
        <v>49</v>
      </c>
      <c r="G81" s="7">
        <f>INDEX(Ladder!$B$6:$G$21,MATCH($D81,Ladder!$A$6:$A$21,0),IF($B81=2026,2,IF($B81=2027,4,6)))+($C81-1)*16</f>
        <v>49</v>
      </c>
      <c r="H81" s="7" t="str">
        <f t="shared" si="1"/>
        <v>#49</v>
      </c>
      <c r="I81" s="9">
        <f>ROUND(AVERAGEIFS('Pick Values'!$B$2:$B$81,'Pick Values'!$A$2:$A$81,"&gt;="&amp;$F81,'Pick Values'!$A$2:$A$81,"&lt;="&amp;$G81),0)</f>
        <v>286</v>
      </c>
      <c r="J81" s="9">
        <f>IF($B81=2027,ROUND($I81*Ladder!$B$2,0),IF($B81=2028,ROUND($I81*Ladder!$B$3,0),$I81))</f>
        <v>257</v>
      </c>
    </row>
    <row r="82" spans="1:10" x14ac:dyDescent="0.3">
      <c r="A82" s="7">
        <v>80</v>
      </c>
      <c r="B82" s="7">
        <v>2027</v>
      </c>
      <c r="C82" s="7">
        <v>5</v>
      </c>
      <c r="D82" s="8" t="s">
        <v>20</v>
      </c>
      <c r="E82" s="15" t="s">
        <v>16</v>
      </c>
      <c r="F82" s="7">
        <f>INDEX(Ladder!$B$6:$G$21,MATCH($D82,Ladder!$A$6:$A$21,0),IF($B82=2026,1,IF($B82=2027,3,5)))+($C82-1)*16</f>
        <v>65</v>
      </c>
      <c r="G82" s="7">
        <f>INDEX(Ladder!$B$6:$G$21,MATCH($D82,Ladder!$A$6:$A$21,0),IF($B82=2026,2,IF($B82=2027,4,6)))+($C82-1)*16</f>
        <v>65</v>
      </c>
      <c r="H82" s="7" t="str">
        <f t="shared" si="1"/>
        <v>#65</v>
      </c>
      <c r="I82" s="9">
        <f>ROUND(AVERAGEIFS('Pick Values'!$B$2:$B$81,'Pick Values'!$A$2:$A$81,"&gt;="&amp;$F82,'Pick Values'!$A$2:$A$81,"&lt;="&amp;$G82),0)</f>
        <v>0</v>
      </c>
      <c r="J82" s="9">
        <f>IF($B82=2027,ROUND($I82*Ladder!$B$2,0),IF($B82=2028,ROUND($I82*Ladder!$B$3,0),$I82))</f>
        <v>0</v>
      </c>
    </row>
    <row r="83" spans="1:10" x14ac:dyDescent="0.3">
      <c r="A83" s="7">
        <v>81</v>
      </c>
      <c r="B83" s="7">
        <v>2026</v>
      </c>
      <c r="C83" s="7">
        <v>1</v>
      </c>
      <c r="D83" s="8" t="s">
        <v>21</v>
      </c>
      <c r="E83" s="15" t="s">
        <v>21</v>
      </c>
      <c r="F83" s="7">
        <f>INDEX(Ladder!$B$6:$G$21,MATCH($D83,Ladder!$A$6:$A$21,0),IF($B83=2026,1,IF($B83=2027,3,5)))+($C83-1)*16</f>
        <v>3</v>
      </c>
      <c r="G83" s="7">
        <f>INDEX(Ladder!$B$6:$G$21,MATCH($D83,Ladder!$A$6:$A$21,0),IF($B83=2026,2,IF($B83=2027,4,6)))+($C83-1)*16</f>
        <v>3</v>
      </c>
      <c r="H83" s="7" t="str">
        <f t="shared" si="1"/>
        <v>#3</v>
      </c>
      <c r="I83" s="9">
        <f>ROUND(AVERAGEIFS('Pick Values'!$B$2:$B$81,'Pick Values'!$A$2:$A$81,"&gt;="&amp;$F83,'Pick Values'!$A$2:$A$81,"&lt;="&amp;$G83),0)</f>
        <v>2436</v>
      </c>
      <c r="J83" s="9">
        <f>IF($B83=2027,ROUND($I83*Ladder!$B$2,0),IF($B83=2028,ROUND($I83*Ladder!$B$3,0),$I83))</f>
        <v>2436</v>
      </c>
    </row>
    <row r="84" spans="1:10" x14ac:dyDescent="0.3">
      <c r="A84" s="7">
        <v>82</v>
      </c>
      <c r="B84" s="7">
        <v>2026</v>
      </c>
      <c r="C84" s="7">
        <v>2</v>
      </c>
      <c r="D84" s="8" t="s">
        <v>21</v>
      </c>
      <c r="E84" s="15" t="s">
        <v>13</v>
      </c>
      <c r="F84" s="7">
        <f>INDEX(Ladder!$B$6:$G$21,MATCH($D84,Ladder!$A$6:$A$21,0),IF($B84=2026,1,IF($B84=2027,3,5)))+($C84-1)*16</f>
        <v>19</v>
      </c>
      <c r="G84" s="7">
        <f>INDEX(Ladder!$B$6:$G$21,MATCH($D84,Ladder!$A$6:$A$21,0),IF($B84=2026,2,IF($B84=2027,4,6)))+($C84-1)*16</f>
        <v>19</v>
      </c>
      <c r="H84" s="7" t="str">
        <f t="shared" si="1"/>
        <v>#19</v>
      </c>
      <c r="I84" s="9">
        <f>ROUND(AVERAGEIFS('Pick Values'!$B$2:$B$81,'Pick Values'!$A$2:$A$81,"&gt;="&amp;$F84,'Pick Values'!$A$2:$A$81,"&lt;="&amp;$G84),0)</f>
        <v>809</v>
      </c>
      <c r="J84" s="9">
        <f>IF($B84=2027,ROUND($I84*Ladder!$B$2,0),IF($B84=2028,ROUND($I84*Ladder!$B$3,0),$I84))</f>
        <v>809</v>
      </c>
    </row>
    <row r="85" spans="1:10" x14ac:dyDescent="0.3">
      <c r="A85" s="7">
        <v>83</v>
      </c>
      <c r="B85" s="7">
        <v>2026</v>
      </c>
      <c r="C85" s="7">
        <v>3</v>
      </c>
      <c r="D85" s="8" t="s">
        <v>21</v>
      </c>
      <c r="E85" s="15" t="s">
        <v>20</v>
      </c>
      <c r="F85" s="7">
        <f>INDEX(Ladder!$B$6:$G$21,MATCH($D85,Ladder!$A$6:$A$21,0),IF($B85=2026,1,IF($B85=2027,3,5)))+($C85-1)*16</f>
        <v>35</v>
      </c>
      <c r="G85" s="7">
        <f>INDEX(Ladder!$B$6:$G$21,MATCH($D85,Ladder!$A$6:$A$21,0),IF($B85=2026,2,IF($B85=2027,4,6)))+($C85-1)*16</f>
        <v>35</v>
      </c>
      <c r="H85" s="7" t="str">
        <f t="shared" si="1"/>
        <v>#35</v>
      </c>
      <c r="I85" s="9">
        <f>ROUND(AVERAGEIFS('Pick Values'!$B$2:$B$81,'Pick Values'!$A$2:$A$81,"&gt;="&amp;$F85,'Pick Values'!$A$2:$A$81,"&lt;="&amp;$G85),0)</f>
        <v>535</v>
      </c>
      <c r="J85" s="9">
        <f>IF($B85=2027,ROUND($I85*Ladder!$B$2,0),IF($B85=2028,ROUND($I85*Ladder!$B$3,0),$I85))</f>
        <v>535</v>
      </c>
    </row>
    <row r="86" spans="1:10" x14ac:dyDescent="0.3">
      <c r="A86" s="7">
        <v>84</v>
      </c>
      <c r="B86" s="7">
        <v>2026</v>
      </c>
      <c r="C86" s="7">
        <v>4</v>
      </c>
      <c r="D86" s="8" t="s">
        <v>21</v>
      </c>
      <c r="E86" s="15" t="s">
        <v>21</v>
      </c>
      <c r="F86" s="7">
        <f>INDEX(Ladder!$B$6:$G$21,MATCH($D86,Ladder!$A$6:$A$21,0),IF($B86=2026,1,IF($B86=2027,3,5)))+($C86-1)*16</f>
        <v>51</v>
      </c>
      <c r="G86" s="7">
        <f>INDEX(Ladder!$B$6:$G$21,MATCH($D86,Ladder!$A$6:$A$21,0),IF($B86=2026,2,IF($B86=2027,4,6)))+($C86-1)*16</f>
        <v>51</v>
      </c>
      <c r="H86" s="7" t="str">
        <f t="shared" si="1"/>
        <v>#51</v>
      </c>
      <c r="I86" s="9">
        <f>ROUND(AVERAGEIFS('Pick Values'!$B$2:$B$81,'Pick Values'!$A$2:$A$81,"&gt;="&amp;$F86,'Pick Values'!$A$2:$A$81,"&lt;="&amp;$G86),0)</f>
        <v>264</v>
      </c>
      <c r="J86" s="9">
        <f>IF($B86=2027,ROUND($I86*Ladder!$B$2,0),IF($B86=2028,ROUND($I86*Ladder!$B$3,0),$I86))</f>
        <v>264</v>
      </c>
    </row>
    <row r="87" spans="1:10" x14ac:dyDescent="0.3">
      <c r="A87" s="7">
        <v>85</v>
      </c>
      <c r="B87" s="7">
        <v>2026</v>
      </c>
      <c r="C87" s="7">
        <v>5</v>
      </c>
      <c r="D87" s="8" t="s">
        <v>21</v>
      </c>
      <c r="E87" s="15" t="s">
        <v>21</v>
      </c>
      <c r="F87" s="7">
        <f>INDEX(Ladder!$B$6:$G$21,MATCH($D87,Ladder!$A$6:$A$21,0),IF($B87=2026,1,IF($B87=2027,3,5)))+($C87-1)*16</f>
        <v>67</v>
      </c>
      <c r="G87" s="7">
        <f>INDEX(Ladder!$B$6:$G$21,MATCH($D87,Ladder!$A$6:$A$21,0),IF($B87=2026,2,IF($B87=2027,4,6)))+($C87-1)*16</f>
        <v>67</v>
      </c>
      <c r="H87" s="7" t="str">
        <f t="shared" si="1"/>
        <v>#67</v>
      </c>
      <c r="I87" s="9">
        <f>ROUND(AVERAGEIFS('Pick Values'!$B$2:$B$81,'Pick Values'!$A$2:$A$81,"&gt;="&amp;$F87,'Pick Values'!$A$2:$A$81,"&lt;="&amp;$G87),0)</f>
        <v>0</v>
      </c>
      <c r="J87" s="9">
        <f>IF($B87=2027,ROUND($I87*Ladder!$B$2,0),IF($B87=2028,ROUND($I87*Ladder!$B$3,0),$I87))</f>
        <v>0</v>
      </c>
    </row>
    <row r="88" spans="1:10" x14ac:dyDescent="0.3">
      <c r="A88" s="7">
        <v>86</v>
      </c>
      <c r="B88" s="7">
        <v>2027</v>
      </c>
      <c r="C88" s="7">
        <v>1</v>
      </c>
      <c r="D88" s="8" t="s">
        <v>21</v>
      </c>
      <c r="E88" s="15" t="s">
        <v>13</v>
      </c>
      <c r="F88" s="7">
        <f>INDEX(Ladder!$B$6:$G$21,MATCH($D88,Ladder!$A$6:$A$21,0),IF($B88=2026,1,IF($B88=2027,3,5)))+($C88-1)*16</f>
        <v>3</v>
      </c>
      <c r="G88" s="7">
        <f>INDEX(Ladder!$B$6:$G$21,MATCH($D88,Ladder!$A$6:$A$21,0),IF($B88=2026,2,IF($B88=2027,4,6)))+($C88-1)*16</f>
        <v>3</v>
      </c>
      <c r="H88" s="7" t="str">
        <f t="shared" si="1"/>
        <v>#3</v>
      </c>
      <c r="I88" s="9">
        <f>ROUND(AVERAGEIFS('Pick Values'!$B$2:$B$81,'Pick Values'!$A$2:$A$81,"&gt;="&amp;$F88,'Pick Values'!$A$2:$A$81,"&lt;="&amp;$G88),0)</f>
        <v>2436</v>
      </c>
      <c r="J88" s="9">
        <f>IF($B88=2027,ROUND($I88*Ladder!$B$2,0),IF($B88=2028,ROUND($I88*Ladder!$B$3,0),$I88))</f>
        <v>2192</v>
      </c>
    </row>
    <row r="89" spans="1:10" x14ac:dyDescent="0.3">
      <c r="A89" s="7">
        <v>87</v>
      </c>
      <c r="B89" s="7">
        <v>2027</v>
      </c>
      <c r="C89" s="7">
        <v>2</v>
      </c>
      <c r="D89" s="8" t="s">
        <v>21</v>
      </c>
      <c r="E89" s="15" t="s">
        <v>21</v>
      </c>
      <c r="F89" s="7">
        <f>INDEX(Ladder!$B$6:$G$21,MATCH($D89,Ladder!$A$6:$A$21,0),IF($B89=2026,1,IF($B89=2027,3,5)))+($C89-1)*16</f>
        <v>19</v>
      </c>
      <c r="G89" s="7">
        <f>INDEX(Ladder!$B$6:$G$21,MATCH($D89,Ladder!$A$6:$A$21,0),IF($B89=2026,2,IF($B89=2027,4,6)))+($C89-1)*16</f>
        <v>19</v>
      </c>
      <c r="H89" s="7" t="str">
        <f t="shared" si="1"/>
        <v>#19</v>
      </c>
      <c r="I89" s="9">
        <f>ROUND(AVERAGEIFS('Pick Values'!$B$2:$B$81,'Pick Values'!$A$2:$A$81,"&gt;="&amp;$F89,'Pick Values'!$A$2:$A$81,"&lt;="&amp;$G89),0)</f>
        <v>809</v>
      </c>
      <c r="J89" s="9">
        <f>IF($B89=2027,ROUND($I89*Ladder!$B$2,0),IF($B89=2028,ROUND($I89*Ladder!$B$3,0),$I89))</f>
        <v>728</v>
      </c>
    </row>
    <row r="90" spans="1:10" x14ac:dyDescent="0.3">
      <c r="A90" s="7">
        <v>88</v>
      </c>
      <c r="B90" s="7">
        <v>2027</v>
      </c>
      <c r="C90" s="7">
        <v>3</v>
      </c>
      <c r="D90" s="8" t="s">
        <v>21</v>
      </c>
      <c r="E90" s="15" t="s">
        <v>25</v>
      </c>
      <c r="F90" s="7">
        <f>INDEX(Ladder!$B$6:$G$21,MATCH($D90,Ladder!$A$6:$A$21,0),IF($B90=2026,1,IF($B90=2027,3,5)))+($C90-1)*16</f>
        <v>35</v>
      </c>
      <c r="G90" s="7">
        <f>INDEX(Ladder!$B$6:$G$21,MATCH($D90,Ladder!$A$6:$A$21,0),IF($B90=2026,2,IF($B90=2027,4,6)))+($C90-1)*16</f>
        <v>35</v>
      </c>
      <c r="H90" s="7" t="str">
        <f t="shared" si="1"/>
        <v>#35</v>
      </c>
      <c r="I90" s="9">
        <f>ROUND(AVERAGEIFS('Pick Values'!$B$2:$B$81,'Pick Values'!$A$2:$A$81,"&gt;="&amp;$F90,'Pick Values'!$A$2:$A$81,"&lt;="&amp;$G90),0)</f>
        <v>535</v>
      </c>
      <c r="J90" s="9">
        <f>IF($B90=2027,ROUND($I90*Ladder!$B$2,0),IF($B90=2028,ROUND($I90*Ladder!$B$3,0),$I90))</f>
        <v>482</v>
      </c>
    </row>
    <row r="91" spans="1:10" x14ac:dyDescent="0.3">
      <c r="A91" s="7">
        <v>89</v>
      </c>
      <c r="B91" s="7">
        <v>2027</v>
      </c>
      <c r="C91" s="7">
        <v>4</v>
      </c>
      <c r="D91" s="8" t="s">
        <v>21</v>
      </c>
      <c r="E91" s="15" t="s">
        <v>14</v>
      </c>
      <c r="F91" s="7">
        <f>INDEX(Ladder!$B$6:$G$21,MATCH($D91,Ladder!$A$6:$A$21,0),IF($B91=2026,1,IF($B91=2027,3,5)))+($C91-1)*16</f>
        <v>51</v>
      </c>
      <c r="G91" s="7">
        <f>INDEX(Ladder!$B$6:$G$21,MATCH($D91,Ladder!$A$6:$A$21,0),IF($B91=2026,2,IF($B91=2027,4,6)))+($C91-1)*16</f>
        <v>51</v>
      </c>
      <c r="H91" s="7" t="str">
        <f t="shared" si="1"/>
        <v>#51</v>
      </c>
      <c r="I91" s="9">
        <f>ROUND(AVERAGEIFS('Pick Values'!$B$2:$B$81,'Pick Values'!$A$2:$A$81,"&gt;="&amp;$F91,'Pick Values'!$A$2:$A$81,"&lt;="&amp;$G91),0)</f>
        <v>264</v>
      </c>
      <c r="J91" s="9">
        <f>IF($B91=2027,ROUND($I91*Ladder!$B$2,0),IF($B91=2028,ROUND($I91*Ladder!$B$3,0),$I91))</f>
        <v>238</v>
      </c>
    </row>
    <row r="92" spans="1:10" x14ac:dyDescent="0.3">
      <c r="A92" s="7">
        <v>90</v>
      </c>
      <c r="B92" s="7">
        <v>2027</v>
      </c>
      <c r="C92" s="7">
        <v>5</v>
      </c>
      <c r="D92" s="8" t="s">
        <v>21</v>
      </c>
      <c r="E92" s="15" t="s">
        <v>21</v>
      </c>
      <c r="F92" s="7">
        <f>INDEX(Ladder!$B$6:$G$21,MATCH($D92,Ladder!$A$6:$A$21,0),IF($B92=2026,1,IF($B92=2027,3,5)))+($C92-1)*16</f>
        <v>67</v>
      </c>
      <c r="G92" s="7">
        <f>INDEX(Ladder!$B$6:$G$21,MATCH($D92,Ladder!$A$6:$A$21,0),IF($B92=2026,2,IF($B92=2027,4,6)))+($C92-1)*16</f>
        <v>67</v>
      </c>
      <c r="H92" s="7" t="str">
        <f t="shared" si="1"/>
        <v>#67</v>
      </c>
      <c r="I92" s="9">
        <f>ROUND(AVERAGEIFS('Pick Values'!$B$2:$B$81,'Pick Values'!$A$2:$A$81,"&gt;="&amp;$F92,'Pick Values'!$A$2:$A$81,"&lt;="&amp;$G92),0)</f>
        <v>0</v>
      </c>
      <c r="J92" s="9">
        <f>IF($B92=2027,ROUND($I92*Ladder!$B$2,0),IF($B92=2028,ROUND($I92*Ladder!$B$3,0),$I92))</f>
        <v>0</v>
      </c>
    </row>
    <row r="93" spans="1:10" x14ac:dyDescent="0.3">
      <c r="A93" s="7">
        <v>91</v>
      </c>
      <c r="B93" s="7">
        <v>2026</v>
      </c>
      <c r="C93" s="7">
        <v>1</v>
      </c>
      <c r="D93" s="8" t="s">
        <v>22</v>
      </c>
      <c r="E93" s="15" t="s">
        <v>16</v>
      </c>
      <c r="F93" s="7">
        <f>INDEX(Ladder!$B$6:$G$21,MATCH($D93,Ladder!$A$6:$A$21,0),IF($B93=2026,1,IF($B93=2027,3,5)))+($C93-1)*16</f>
        <v>15</v>
      </c>
      <c r="G93" s="7">
        <f>INDEX(Ladder!$B$6:$G$21,MATCH($D93,Ladder!$A$6:$A$21,0),IF($B93=2026,2,IF($B93=2027,4,6)))+($C93-1)*16</f>
        <v>15</v>
      </c>
      <c r="H93" s="7" t="str">
        <f t="shared" si="1"/>
        <v>#15</v>
      </c>
      <c r="I93" s="9">
        <f>ROUND(AVERAGEIFS('Pick Values'!$B$2:$B$81,'Pick Values'!$A$2:$A$81,"&gt;="&amp;$F93,'Pick Values'!$A$2:$A$81,"&lt;="&amp;$G93),0)</f>
        <v>886</v>
      </c>
      <c r="J93" s="9">
        <f>IF($B93=2027,ROUND($I93*Ladder!$B$2,0),IF($B93=2028,ROUND($I93*Ladder!$B$3,0),$I93))</f>
        <v>886</v>
      </c>
    </row>
    <row r="94" spans="1:10" x14ac:dyDescent="0.3">
      <c r="A94" s="7">
        <v>92</v>
      </c>
      <c r="B94" s="7">
        <v>2026</v>
      </c>
      <c r="C94" s="7">
        <v>2</v>
      </c>
      <c r="D94" s="8" t="s">
        <v>22</v>
      </c>
      <c r="E94" s="15" t="s">
        <v>25</v>
      </c>
      <c r="F94" s="7">
        <f>INDEX(Ladder!$B$6:$G$21,MATCH($D94,Ladder!$A$6:$A$21,0),IF($B94=2026,1,IF($B94=2027,3,5)))+($C94-1)*16</f>
        <v>31</v>
      </c>
      <c r="G94" s="7">
        <f>INDEX(Ladder!$B$6:$G$21,MATCH($D94,Ladder!$A$6:$A$21,0),IF($B94=2026,2,IF($B94=2027,4,6)))+($C94-1)*16</f>
        <v>31</v>
      </c>
      <c r="H94" s="7" t="str">
        <f t="shared" si="1"/>
        <v>#31</v>
      </c>
      <c r="I94" s="9">
        <f>ROUND(AVERAGEIFS('Pick Values'!$B$2:$B$81,'Pick Values'!$A$2:$A$81,"&gt;="&amp;$F94,'Pick Values'!$A$2:$A$81,"&lt;="&amp;$G94),0)</f>
        <v>586</v>
      </c>
      <c r="J94" s="9">
        <f>IF($B94=2027,ROUND($I94*Ladder!$B$2,0),IF($B94=2028,ROUND($I94*Ladder!$B$3,0),$I94))</f>
        <v>586</v>
      </c>
    </row>
    <row r="95" spans="1:10" x14ac:dyDescent="0.3">
      <c r="A95" s="7">
        <v>93</v>
      </c>
      <c r="B95" s="7">
        <v>2026</v>
      </c>
      <c r="C95" s="7">
        <v>3</v>
      </c>
      <c r="D95" s="8" t="s">
        <v>22</v>
      </c>
      <c r="E95" s="15" t="s">
        <v>22</v>
      </c>
      <c r="F95" s="7">
        <f>INDEX(Ladder!$B$6:$G$21,MATCH($D95,Ladder!$A$6:$A$21,0),IF($B95=2026,1,IF($B95=2027,3,5)))+($C95-1)*16</f>
        <v>47</v>
      </c>
      <c r="G95" s="7">
        <f>INDEX(Ladder!$B$6:$G$21,MATCH($D95,Ladder!$A$6:$A$21,0),IF($B95=2026,2,IF($B95=2027,4,6)))+($C95-1)*16</f>
        <v>47</v>
      </c>
      <c r="H95" s="7" t="str">
        <f t="shared" si="1"/>
        <v>#47</v>
      </c>
      <c r="I95" s="9">
        <f>ROUND(AVERAGEIFS('Pick Values'!$B$2:$B$81,'Pick Values'!$A$2:$A$81,"&gt;="&amp;$F95,'Pick Values'!$A$2:$A$81,"&lt;="&amp;$G95),0)</f>
        <v>318</v>
      </c>
      <c r="J95" s="9">
        <f>IF($B95=2027,ROUND($I95*Ladder!$B$2,0),IF($B95=2028,ROUND($I95*Ladder!$B$3,0),$I95))</f>
        <v>318</v>
      </c>
    </row>
    <row r="96" spans="1:10" x14ac:dyDescent="0.3">
      <c r="A96" s="7">
        <v>94</v>
      </c>
      <c r="B96" s="7">
        <v>2026</v>
      </c>
      <c r="C96" s="7">
        <v>4</v>
      </c>
      <c r="D96" s="8" t="s">
        <v>22</v>
      </c>
      <c r="E96" s="15" t="s">
        <v>22</v>
      </c>
      <c r="F96" s="7">
        <f>INDEX(Ladder!$B$6:$G$21,MATCH($D96,Ladder!$A$6:$A$21,0),IF($B96=2026,1,IF($B96=2027,3,5)))+($C96-1)*16</f>
        <v>63</v>
      </c>
      <c r="G96" s="7">
        <f>INDEX(Ladder!$B$6:$G$21,MATCH($D96,Ladder!$A$6:$A$21,0),IF($B96=2026,2,IF($B96=2027,4,6)))+($C96-1)*16</f>
        <v>63</v>
      </c>
      <c r="H96" s="7" t="str">
        <f t="shared" si="1"/>
        <v>#63</v>
      </c>
      <c r="I96" s="9">
        <f>ROUND(AVERAGEIFS('Pick Values'!$B$2:$B$81,'Pick Values'!$A$2:$A$81,"&gt;="&amp;$F96,'Pick Values'!$A$2:$A$81,"&lt;="&amp;$G96),0)</f>
        <v>180</v>
      </c>
      <c r="J96" s="9">
        <f>IF($B96=2027,ROUND($I96*Ladder!$B$2,0),IF($B96=2028,ROUND($I96*Ladder!$B$3,0),$I96))</f>
        <v>180</v>
      </c>
    </row>
    <row r="97" spans="1:10" x14ac:dyDescent="0.3">
      <c r="A97" s="7">
        <v>95</v>
      </c>
      <c r="B97" s="7">
        <v>2026</v>
      </c>
      <c r="C97" s="7">
        <v>5</v>
      </c>
      <c r="D97" s="8" t="s">
        <v>22</v>
      </c>
      <c r="E97" s="15" t="s">
        <v>22</v>
      </c>
      <c r="F97" s="7">
        <f>INDEX(Ladder!$B$6:$G$21,MATCH($D97,Ladder!$A$6:$A$21,0),IF($B97=2026,1,IF($B97=2027,3,5)))+($C97-1)*16</f>
        <v>79</v>
      </c>
      <c r="G97" s="7">
        <f>INDEX(Ladder!$B$6:$G$21,MATCH($D97,Ladder!$A$6:$A$21,0),IF($B97=2026,2,IF($B97=2027,4,6)))+($C97-1)*16</f>
        <v>79</v>
      </c>
      <c r="H97" s="7" t="str">
        <f t="shared" si="1"/>
        <v>#79</v>
      </c>
      <c r="I97" s="9">
        <f>ROUND(AVERAGEIFS('Pick Values'!$B$2:$B$81,'Pick Values'!$A$2:$A$81,"&gt;="&amp;$F97,'Pick Values'!$A$2:$A$81,"&lt;="&amp;$G97),0)</f>
        <v>0</v>
      </c>
      <c r="J97" s="9">
        <f>IF($B97=2027,ROUND($I97*Ladder!$B$2,0),IF($B97=2028,ROUND($I97*Ladder!$B$3,0),$I97))</f>
        <v>0</v>
      </c>
    </row>
    <row r="98" spans="1:10" x14ac:dyDescent="0.3">
      <c r="A98" s="7">
        <v>96</v>
      </c>
      <c r="B98" s="7">
        <v>2027</v>
      </c>
      <c r="C98" s="7">
        <v>1</v>
      </c>
      <c r="D98" s="8" t="s">
        <v>22</v>
      </c>
      <c r="E98" s="15" t="s">
        <v>24</v>
      </c>
      <c r="F98" s="7">
        <f>INDEX(Ladder!$B$6:$G$21,MATCH($D98,Ladder!$A$6:$A$21,0),IF($B98=2026,1,IF($B98=2027,3,5)))+($C98-1)*16</f>
        <v>15</v>
      </c>
      <c r="G98" s="7">
        <f>INDEX(Ladder!$B$6:$G$21,MATCH($D98,Ladder!$A$6:$A$21,0),IF($B98=2026,2,IF($B98=2027,4,6)))+($C98-1)*16</f>
        <v>15</v>
      </c>
      <c r="H98" s="7" t="str">
        <f t="shared" si="1"/>
        <v>#15</v>
      </c>
      <c r="I98" s="9">
        <f>ROUND(AVERAGEIFS('Pick Values'!$B$2:$B$81,'Pick Values'!$A$2:$A$81,"&gt;="&amp;$F98,'Pick Values'!$A$2:$A$81,"&lt;="&amp;$G98),0)</f>
        <v>886</v>
      </c>
      <c r="J98" s="9">
        <f>IF($B98=2027,ROUND($I98*Ladder!$B$2,0),IF($B98=2028,ROUND($I98*Ladder!$B$3,0),$I98))</f>
        <v>797</v>
      </c>
    </row>
    <row r="99" spans="1:10" x14ac:dyDescent="0.3">
      <c r="A99" s="7">
        <v>97</v>
      </c>
      <c r="B99" s="7">
        <v>2027</v>
      </c>
      <c r="C99" s="7">
        <v>2</v>
      </c>
      <c r="D99" s="8" t="s">
        <v>22</v>
      </c>
      <c r="E99" s="15" t="s">
        <v>24</v>
      </c>
      <c r="F99" s="7">
        <f>INDEX(Ladder!$B$6:$G$21,MATCH($D99,Ladder!$A$6:$A$21,0),IF($B99=2026,1,IF($B99=2027,3,5)))+($C99-1)*16</f>
        <v>31</v>
      </c>
      <c r="G99" s="7">
        <f>INDEX(Ladder!$B$6:$G$21,MATCH($D99,Ladder!$A$6:$A$21,0),IF($B99=2026,2,IF($B99=2027,4,6)))+($C99-1)*16</f>
        <v>31</v>
      </c>
      <c r="H99" s="7" t="str">
        <f t="shared" si="1"/>
        <v>#31</v>
      </c>
      <c r="I99" s="9">
        <f>ROUND(AVERAGEIFS('Pick Values'!$B$2:$B$81,'Pick Values'!$A$2:$A$81,"&gt;="&amp;$F99,'Pick Values'!$A$2:$A$81,"&lt;="&amp;$G99),0)</f>
        <v>586</v>
      </c>
      <c r="J99" s="9">
        <f>IF($B99=2027,ROUND($I99*Ladder!$B$2,0),IF($B99=2028,ROUND($I99*Ladder!$B$3,0),$I99))</f>
        <v>527</v>
      </c>
    </row>
    <row r="100" spans="1:10" x14ac:dyDescent="0.3">
      <c r="A100" s="7">
        <v>98</v>
      </c>
      <c r="B100" s="7">
        <v>2027</v>
      </c>
      <c r="C100" s="7">
        <v>3</v>
      </c>
      <c r="D100" s="8" t="s">
        <v>22</v>
      </c>
      <c r="E100" s="15" t="s">
        <v>22</v>
      </c>
      <c r="F100" s="7">
        <f>INDEX(Ladder!$B$6:$G$21,MATCH($D100,Ladder!$A$6:$A$21,0),IF($B100=2026,1,IF($B100=2027,3,5)))+($C100-1)*16</f>
        <v>47</v>
      </c>
      <c r="G100" s="7">
        <f>INDEX(Ladder!$B$6:$G$21,MATCH($D100,Ladder!$A$6:$A$21,0),IF($B100=2026,2,IF($B100=2027,4,6)))+($C100-1)*16</f>
        <v>47</v>
      </c>
      <c r="H100" s="7" t="str">
        <f t="shared" si="1"/>
        <v>#47</v>
      </c>
      <c r="I100" s="9">
        <f>ROUND(AVERAGEIFS('Pick Values'!$B$2:$B$81,'Pick Values'!$A$2:$A$81,"&gt;="&amp;$F100,'Pick Values'!$A$2:$A$81,"&lt;="&amp;$G100),0)</f>
        <v>318</v>
      </c>
      <c r="J100" s="9">
        <f>IF($B100=2027,ROUND($I100*Ladder!$B$2,0),IF($B100=2028,ROUND($I100*Ladder!$B$3,0),$I100))</f>
        <v>286</v>
      </c>
    </row>
    <row r="101" spans="1:10" x14ac:dyDescent="0.3">
      <c r="A101" s="7">
        <v>99</v>
      </c>
      <c r="B101" s="7">
        <v>2027</v>
      </c>
      <c r="C101" s="7">
        <v>4</v>
      </c>
      <c r="D101" s="8" t="s">
        <v>22</v>
      </c>
      <c r="E101" s="15" t="s">
        <v>22</v>
      </c>
      <c r="F101" s="7">
        <f>INDEX(Ladder!$B$6:$G$21,MATCH($D101,Ladder!$A$6:$A$21,0),IF($B101=2026,1,IF($B101=2027,3,5)))+($C101-1)*16</f>
        <v>63</v>
      </c>
      <c r="G101" s="7">
        <f>INDEX(Ladder!$B$6:$G$21,MATCH($D101,Ladder!$A$6:$A$21,0),IF($B101=2026,2,IF($B101=2027,4,6)))+($C101-1)*16</f>
        <v>63</v>
      </c>
      <c r="H101" s="7" t="str">
        <f t="shared" si="1"/>
        <v>#63</v>
      </c>
      <c r="I101" s="9">
        <f>ROUND(AVERAGEIFS('Pick Values'!$B$2:$B$81,'Pick Values'!$A$2:$A$81,"&gt;="&amp;$F101,'Pick Values'!$A$2:$A$81,"&lt;="&amp;$G101),0)</f>
        <v>180</v>
      </c>
      <c r="J101" s="9">
        <f>IF($B101=2027,ROUND($I101*Ladder!$B$2,0),IF($B101=2028,ROUND($I101*Ladder!$B$3,0),$I101))</f>
        <v>162</v>
      </c>
    </row>
    <row r="102" spans="1:10" x14ac:dyDescent="0.3">
      <c r="A102" s="7">
        <v>100</v>
      </c>
      <c r="B102" s="7">
        <v>2027</v>
      </c>
      <c r="C102" s="7">
        <v>5</v>
      </c>
      <c r="D102" s="8" t="s">
        <v>22</v>
      </c>
      <c r="E102" s="15" t="s">
        <v>22</v>
      </c>
      <c r="F102" s="7">
        <f>INDEX(Ladder!$B$6:$G$21,MATCH($D102,Ladder!$A$6:$A$21,0),IF($B102=2026,1,IF($B102=2027,3,5)))+($C102-1)*16</f>
        <v>79</v>
      </c>
      <c r="G102" s="7">
        <f>INDEX(Ladder!$B$6:$G$21,MATCH($D102,Ladder!$A$6:$A$21,0),IF($B102=2026,2,IF($B102=2027,4,6)))+($C102-1)*16</f>
        <v>79</v>
      </c>
      <c r="H102" s="7" t="str">
        <f t="shared" si="1"/>
        <v>#79</v>
      </c>
      <c r="I102" s="9">
        <f>ROUND(AVERAGEIFS('Pick Values'!$B$2:$B$81,'Pick Values'!$A$2:$A$81,"&gt;="&amp;$F102,'Pick Values'!$A$2:$A$81,"&lt;="&amp;$G102),0)</f>
        <v>0</v>
      </c>
      <c r="J102" s="9">
        <f>IF($B102=2027,ROUND($I102*Ladder!$B$2,0),IF($B102=2028,ROUND($I102*Ladder!$B$3,0),$I102))</f>
        <v>0</v>
      </c>
    </row>
    <row r="103" spans="1:10" x14ac:dyDescent="0.3">
      <c r="A103" s="7">
        <v>101</v>
      </c>
      <c r="B103" s="7">
        <v>2026</v>
      </c>
      <c r="C103" s="7">
        <v>1</v>
      </c>
      <c r="D103" s="8" t="s">
        <v>23</v>
      </c>
      <c r="E103" s="15" t="s">
        <v>13</v>
      </c>
      <c r="F103" s="7">
        <f>INDEX(Ladder!$B$6:$G$21,MATCH($D103,Ladder!$A$6:$A$21,0),IF($B103=2026,1,IF($B103=2027,3,5)))+($C103-1)*16</f>
        <v>11</v>
      </c>
      <c r="G103" s="7">
        <f>INDEX(Ladder!$B$6:$G$21,MATCH($D103,Ladder!$A$6:$A$21,0),IF($B103=2026,2,IF($B103=2027,4,6)))+($C103-1)*16</f>
        <v>11</v>
      </c>
      <c r="H103" s="7" t="str">
        <f t="shared" si="1"/>
        <v>#11</v>
      </c>
      <c r="I103" s="9">
        <f>ROUND(AVERAGEIFS('Pick Values'!$B$2:$B$81,'Pick Values'!$A$2:$A$81,"&gt;="&amp;$F103,'Pick Values'!$A$2:$A$81,"&lt;="&amp;$G103),0)</f>
        <v>1296</v>
      </c>
      <c r="J103" s="9">
        <f>IF($B103=2027,ROUND($I103*Ladder!$B$2,0),IF($B103=2028,ROUND($I103*Ladder!$B$3,0),$I103))</f>
        <v>1296</v>
      </c>
    </row>
    <row r="104" spans="1:10" x14ac:dyDescent="0.3">
      <c r="A104" s="7">
        <v>102</v>
      </c>
      <c r="B104" s="7">
        <v>2026</v>
      </c>
      <c r="C104" s="7">
        <v>2</v>
      </c>
      <c r="D104" s="8" t="s">
        <v>23</v>
      </c>
      <c r="E104" s="15" t="s">
        <v>18</v>
      </c>
      <c r="F104" s="7">
        <f>INDEX(Ladder!$B$6:$G$21,MATCH($D104,Ladder!$A$6:$A$21,0),IF($B104=2026,1,IF($B104=2027,3,5)))+($C104-1)*16</f>
        <v>27</v>
      </c>
      <c r="G104" s="7">
        <f>INDEX(Ladder!$B$6:$G$21,MATCH($D104,Ladder!$A$6:$A$21,0),IF($B104=2026,2,IF($B104=2027,4,6)))+($C104-1)*16</f>
        <v>27</v>
      </c>
      <c r="H104" s="7" t="str">
        <f t="shared" si="1"/>
        <v>#27</v>
      </c>
      <c r="I104" s="9">
        <f>ROUND(AVERAGEIFS('Pick Values'!$B$2:$B$81,'Pick Values'!$A$2:$A$81,"&gt;="&amp;$F104,'Pick Values'!$A$2:$A$81,"&lt;="&amp;$G104),0)</f>
        <v>642</v>
      </c>
      <c r="J104" s="9">
        <f>IF($B104=2027,ROUND($I104*Ladder!$B$2,0),IF($B104=2028,ROUND($I104*Ladder!$B$3,0),$I104))</f>
        <v>642</v>
      </c>
    </row>
    <row r="105" spans="1:10" x14ac:dyDescent="0.3">
      <c r="A105" s="7">
        <v>103</v>
      </c>
      <c r="B105" s="7">
        <v>2026</v>
      </c>
      <c r="C105" s="7">
        <v>3</v>
      </c>
      <c r="D105" s="8" t="s">
        <v>23</v>
      </c>
      <c r="E105" s="15" t="s">
        <v>17</v>
      </c>
      <c r="F105" s="7">
        <f>INDEX(Ladder!$B$6:$G$21,MATCH($D105,Ladder!$A$6:$A$21,0),IF($B105=2026,1,IF($B105=2027,3,5)))+($C105-1)*16</f>
        <v>43</v>
      </c>
      <c r="G105" s="7">
        <f>INDEX(Ladder!$B$6:$G$21,MATCH($D105,Ladder!$A$6:$A$21,0),IF($B105=2026,2,IF($B105=2027,4,6)))+($C105-1)*16</f>
        <v>43</v>
      </c>
      <c r="H105" s="7" t="str">
        <f t="shared" si="1"/>
        <v>#43</v>
      </c>
      <c r="I105" s="9">
        <f>ROUND(AVERAGEIFS('Pick Values'!$B$2:$B$81,'Pick Values'!$A$2:$A$81,"&gt;="&amp;$F105,'Pick Values'!$A$2:$A$81,"&lt;="&amp;$G105),0)</f>
        <v>408</v>
      </c>
      <c r="J105" s="9">
        <f>IF($B105=2027,ROUND($I105*Ladder!$B$2,0),IF($B105=2028,ROUND($I105*Ladder!$B$3,0),$I105))</f>
        <v>408</v>
      </c>
    </row>
    <row r="106" spans="1:10" x14ac:dyDescent="0.3">
      <c r="A106" s="7">
        <v>104</v>
      </c>
      <c r="B106" s="7">
        <v>2026</v>
      </c>
      <c r="C106" s="7">
        <v>4</v>
      </c>
      <c r="D106" s="8" t="s">
        <v>23</v>
      </c>
      <c r="E106" s="15" t="s">
        <v>15</v>
      </c>
      <c r="F106" s="7">
        <f>INDEX(Ladder!$B$6:$G$21,MATCH($D106,Ladder!$A$6:$A$21,0),IF($B106=2026,1,IF($B106=2027,3,5)))+($C106-1)*16</f>
        <v>59</v>
      </c>
      <c r="G106" s="7">
        <f>INDEX(Ladder!$B$6:$G$21,MATCH($D106,Ladder!$A$6:$A$21,0),IF($B106=2026,2,IF($B106=2027,4,6)))+($C106-1)*16</f>
        <v>59</v>
      </c>
      <c r="H106" s="7" t="str">
        <f t="shared" si="1"/>
        <v>#59</v>
      </c>
      <c r="I106" s="9">
        <f>ROUND(AVERAGEIFS('Pick Values'!$B$2:$B$81,'Pick Values'!$A$2:$A$81,"&gt;="&amp;$F106,'Pick Values'!$A$2:$A$81,"&lt;="&amp;$G106),0)</f>
        <v>196</v>
      </c>
      <c r="J106" s="9">
        <f>IF($B106=2027,ROUND($I106*Ladder!$B$2,0),IF($B106=2028,ROUND($I106*Ladder!$B$3,0),$I106))</f>
        <v>196</v>
      </c>
    </row>
    <row r="107" spans="1:10" x14ac:dyDescent="0.3">
      <c r="A107" s="7">
        <v>105</v>
      </c>
      <c r="B107" s="7">
        <v>2026</v>
      </c>
      <c r="C107" s="7">
        <v>5</v>
      </c>
      <c r="D107" s="8" t="s">
        <v>23</v>
      </c>
      <c r="E107" s="15" t="s">
        <v>15</v>
      </c>
      <c r="F107" s="7">
        <f>INDEX(Ladder!$B$6:$G$21,MATCH($D107,Ladder!$A$6:$A$21,0),IF($B107=2026,1,IF($B107=2027,3,5)))+($C107-1)*16</f>
        <v>75</v>
      </c>
      <c r="G107" s="7">
        <f>INDEX(Ladder!$B$6:$G$21,MATCH($D107,Ladder!$A$6:$A$21,0),IF($B107=2026,2,IF($B107=2027,4,6)))+($C107-1)*16</f>
        <v>75</v>
      </c>
      <c r="H107" s="7" t="str">
        <f t="shared" si="1"/>
        <v>#75</v>
      </c>
      <c r="I107" s="9">
        <f>ROUND(AVERAGEIFS('Pick Values'!$B$2:$B$81,'Pick Values'!$A$2:$A$81,"&gt;="&amp;$F107,'Pick Values'!$A$2:$A$81,"&lt;="&amp;$G107),0)</f>
        <v>0</v>
      </c>
      <c r="J107" s="9">
        <f>IF($B107=2027,ROUND($I107*Ladder!$B$2,0),IF($B107=2028,ROUND($I107*Ladder!$B$3,0),$I107))</f>
        <v>0</v>
      </c>
    </row>
    <row r="108" spans="1:10" x14ac:dyDescent="0.3">
      <c r="A108" s="7">
        <v>106</v>
      </c>
      <c r="B108" s="7">
        <v>2027</v>
      </c>
      <c r="C108" s="7">
        <v>1</v>
      </c>
      <c r="D108" s="8" t="s">
        <v>23</v>
      </c>
      <c r="E108" s="15" t="s">
        <v>17</v>
      </c>
      <c r="F108" s="7">
        <f>INDEX(Ladder!$B$6:$G$21,MATCH($D108,Ladder!$A$6:$A$21,0),IF($B108=2026,1,IF($B108=2027,3,5)))+($C108-1)*16</f>
        <v>11</v>
      </c>
      <c r="G108" s="7">
        <f>INDEX(Ladder!$B$6:$G$21,MATCH($D108,Ladder!$A$6:$A$21,0),IF($B108=2026,2,IF($B108=2027,4,6)))+($C108-1)*16</f>
        <v>11</v>
      </c>
      <c r="H108" s="7" t="str">
        <f t="shared" si="1"/>
        <v>#11</v>
      </c>
      <c r="I108" s="9">
        <f>ROUND(AVERAGEIFS('Pick Values'!$B$2:$B$81,'Pick Values'!$A$2:$A$81,"&gt;="&amp;$F108,'Pick Values'!$A$2:$A$81,"&lt;="&amp;$G108),0)</f>
        <v>1296</v>
      </c>
      <c r="J108" s="9">
        <f>IF($B108=2027,ROUND($I108*Ladder!$B$2,0),IF($B108=2028,ROUND($I108*Ladder!$B$3,0),$I108))</f>
        <v>1166</v>
      </c>
    </row>
    <row r="109" spans="1:10" x14ac:dyDescent="0.3">
      <c r="A109" s="7">
        <v>107</v>
      </c>
      <c r="B109" s="7">
        <v>2027</v>
      </c>
      <c r="C109" s="7">
        <v>2</v>
      </c>
      <c r="D109" s="8" t="s">
        <v>23</v>
      </c>
      <c r="E109" s="15" t="s">
        <v>21</v>
      </c>
      <c r="F109" s="7">
        <f>INDEX(Ladder!$B$6:$G$21,MATCH($D109,Ladder!$A$6:$A$21,0),IF($B109=2026,1,IF($B109=2027,3,5)))+($C109-1)*16</f>
        <v>27</v>
      </c>
      <c r="G109" s="7">
        <f>INDEX(Ladder!$B$6:$G$21,MATCH($D109,Ladder!$A$6:$A$21,0),IF($B109=2026,2,IF($B109=2027,4,6)))+($C109-1)*16</f>
        <v>27</v>
      </c>
      <c r="H109" s="7" t="str">
        <f t="shared" si="1"/>
        <v>#27</v>
      </c>
      <c r="I109" s="9">
        <f>ROUND(AVERAGEIFS('Pick Values'!$B$2:$B$81,'Pick Values'!$A$2:$A$81,"&gt;="&amp;$F109,'Pick Values'!$A$2:$A$81,"&lt;="&amp;$G109),0)</f>
        <v>642</v>
      </c>
      <c r="J109" s="9">
        <f>IF($B109=2027,ROUND($I109*Ladder!$B$2,0),IF($B109=2028,ROUND($I109*Ladder!$B$3,0),$I109))</f>
        <v>578</v>
      </c>
    </row>
    <row r="110" spans="1:10" x14ac:dyDescent="0.3">
      <c r="A110" s="7">
        <v>108</v>
      </c>
      <c r="B110" s="7">
        <v>2027</v>
      </c>
      <c r="C110" s="7">
        <v>3</v>
      </c>
      <c r="D110" s="8" t="s">
        <v>23</v>
      </c>
      <c r="E110" s="15" t="s">
        <v>23</v>
      </c>
      <c r="F110" s="7">
        <f>INDEX(Ladder!$B$6:$G$21,MATCH($D110,Ladder!$A$6:$A$21,0),IF($B110=2026,1,IF($B110=2027,3,5)))+($C110-1)*16</f>
        <v>43</v>
      </c>
      <c r="G110" s="7">
        <f>INDEX(Ladder!$B$6:$G$21,MATCH($D110,Ladder!$A$6:$A$21,0),IF($B110=2026,2,IF($B110=2027,4,6)))+($C110-1)*16</f>
        <v>43</v>
      </c>
      <c r="H110" s="7" t="str">
        <f t="shared" si="1"/>
        <v>#43</v>
      </c>
      <c r="I110" s="9">
        <f>ROUND(AVERAGEIFS('Pick Values'!$B$2:$B$81,'Pick Values'!$A$2:$A$81,"&gt;="&amp;$F110,'Pick Values'!$A$2:$A$81,"&lt;="&amp;$G110),0)</f>
        <v>408</v>
      </c>
      <c r="J110" s="9">
        <f>IF($B110=2027,ROUND($I110*Ladder!$B$2,0),IF($B110=2028,ROUND($I110*Ladder!$B$3,0),$I110))</f>
        <v>367</v>
      </c>
    </row>
    <row r="111" spans="1:10" x14ac:dyDescent="0.3">
      <c r="A111" s="7">
        <v>109</v>
      </c>
      <c r="B111" s="7">
        <v>2027</v>
      </c>
      <c r="C111" s="7">
        <v>4</v>
      </c>
      <c r="D111" s="8" t="s">
        <v>23</v>
      </c>
      <c r="E111" s="15" t="s">
        <v>23</v>
      </c>
      <c r="F111" s="7">
        <f>INDEX(Ladder!$B$6:$G$21,MATCH($D111,Ladder!$A$6:$A$21,0),IF($B111=2026,1,IF($B111=2027,3,5)))+($C111-1)*16</f>
        <v>59</v>
      </c>
      <c r="G111" s="7">
        <f>INDEX(Ladder!$B$6:$G$21,MATCH($D111,Ladder!$A$6:$A$21,0),IF($B111=2026,2,IF($B111=2027,4,6)))+($C111-1)*16</f>
        <v>59</v>
      </c>
      <c r="H111" s="7" t="str">
        <f t="shared" si="1"/>
        <v>#59</v>
      </c>
      <c r="I111" s="9">
        <f>ROUND(AVERAGEIFS('Pick Values'!$B$2:$B$81,'Pick Values'!$A$2:$A$81,"&gt;="&amp;$F111,'Pick Values'!$A$2:$A$81,"&lt;="&amp;$G111),0)</f>
        <v>196</v>
      </c>
      <c r="J111" s="9">
        <f>IF($B111=2027,ROUND($I111*Ladder!$B$2,0),IF($B111=2028,ROUND($I111*Ladder!$B$3,0),$I111))</f>
        <v>176</v>
      </c>
    </row>
    <row r="112" spans="1:10" x14ac:dyDescent="0.3">
      <c r="A112" s="7">
        <v>110</v>
      </c>
      <c r="B112" s="7">
        <v>2027</v>
      </c>
      <c r="C112" s="7">
        <v>5</v>
      </c>
      <c r="D112" s="8" t="s">
        <v>23</v>
      </c>
      <c r="E112" s="15" t="s">
        <v>23</v>
      </c>
      <c r="F112" s="7">
        <f>INDEX(Ladder!$B$6:$G$21,MATCH($D112,Ladder!$A$6:$A$21,0),IF($B112=2026,1,IF($B112=2027,3,5)))+($C112-1)*16</f>
        <v>75</v>
      </c>
      <c r="G112" s="7">
        <f>INDEX(Ladder!$B$6:$G$21,MATCH($D112,Ladder!$A$6:$A$21,0),IF($B112=2026,2,IF($B112=2027,4,6)))+($C112-1)*16</f>
        <v>75</v>
      </c>
      <c r="H112" s="7" t="str">
        <f t="shared" si="1"/>
        <v>#75</v>
      </c>
      <c r="I112" s="9">
        <f>ROUND(AVERAGEIFS('Pick Values'!$B$2:$B$81,'Pick Values'!$A$2:$A$81,"&gt;="&amp;$F112,'Pick Values'!$A$2:$A$81,"&lt;="&amp;$G112),0)</f>
        <v>0</v>
      </c>
      <c r="J112" s="9">
        <f>IF($B112=2027,ROUND($I112*Ladder!$B$2,0),IF($B112=2028,ROUND($I112*Ladder!$B$3,0),$I112))</f>
        <v>0</v>
      </c>
    </row>
    <row r="113" spans="1:10" x14ac:dyDescent="0.3">
      <c r="A113" s="7">
        <v>111</v>
      </c>
      <c r="B113" s="7">
        <v>2026</v>
      </c>
      <c r="C113" s="7">
        <v>1</v>
      </c>
      <c r="D113" s="8" t="s">
        <v>24</v>
      </c>
      <c r="E113" s="15" t="s">
        <v>21</v>
      </c>
      <c r="F113" s="7">
        <f>INDEX(Ladder!$B$6:$G$21,MATCH($D113,Ladder!$A$6:$A$21,0),IF($B113=2026,1,IF($B113=2027,3,5)))+($C113-1)*16</f>
        <v>6</v>
      </c>
      <c r="G113" s="7">
        <f>INDEX(Ladder!$B$6:$G$21,MATCH($D113,Ladder!$A$6:$A$21,0),IF($B113=2026,2,IF($B113=2027,4,6)))+($C113-1)*16</f>
        <v>6</v>
      </c>
      <c r="H113" s="7" t="str">
        <f t="shared" si="1"/>
        <v>#6</v>
      </c>
      <c r="I113" s="9">
        <f>ROUND(AVERAGEIFS('Pick Values'!$B$2:$B$81,'Pick Values'!$A$2:$A$81,"&gt;="&amp;$F113,'Pick Values'!$A$2:$A$81,"&lt;="&amp;$G113),0)</f>
        <v>1572</v>
      </c>
      <c r="J113" s="9">
        <f>IF($B113=2027,ROUND($I113*Ladder!$B$2,0),IF($B113=2028,ROUND($I113*Ladder!$B$3,0),$I113))</f>
        <v>1572</v>
      </c>
    </row>
    <row r="114" spans="1:10" x14ac:dyDescent="0.3">
      <c r="A114" s="7">
        <v>112</v>
      </c>
      <c r="B114" s="7">
        <v>2026</v>
      </c>
      <c r="C114" s="7">
        <v>2</v>
      </c>
      <c r="D114" s="8" t="s">
        <v>24</v>
      </c>
      <c r="E114" s="15" t="s">
        <v>18</v>
      </c>
      <c r="F114" s="7">
        <f>INDEX(Ladder!$B$6:$G$21,MATCH($D114,Ladder!$A$6:$A$21,0),IF($B114=2026,1,IF($B114=2027,3,5)))+($C114-1)*16</f>
        <v>22</v>
      </c>
      <c r="G114" s="7">
        <f>INDEX(Ladder!$B$6:$G$21,MATCH($D114,Ladder!$A$6:$A$21,0),IF($B114=2026,2,IF($B114=2027,4,6)))+($C114-1)*16</f>
        <v>22</v>
      </c>
      <c r="H114" s="7" t="str">
        <f t="shared" si="1"/>
        <v>#22</v>
      </c>
      <c r="I114" s="9">
        <f>ROUND(AVERAGEIFS('Pick Values'!$B$2:$B$81,'Pick Values'!$A$2:$A$81,"&gt;="&amp;$F114,'Pick Values'!$A$2:$A$81,"&lt;="&amp;$G114),0)</f>
        <v>774</v>
      </c>
      <c r="J114" s="9">
        <f>IF($B114=2027,ROUND($I114*Ladder!$B$2,0),IF($B114=2028,ROUND($I114*Ladder!$B$3,0),$I114))</f>
        <v>774</v>
      </c>
    </row>
    <row r="115" spans="1:10" x14ac:dyDescent="0.3">
      <c r="A115" s="7">
        <v>113</v>
      </c>
      <c r="B115" s="7">
        <v>2026</v>
      </c>
      <c r="C115" s="7">
        <v>3</v>
      </c>
      <c r="D115" s="8" t="s">
        <v>24</v>
      </c>
      <c r="E115" s="15" t="s">
        <v>16</v>
      </c>
      <c r="F115" s="7">
        <f>INDEX(Ladder!$B$6:$G$21,MATCH($D115,Ladder!$A$6:$A$21,0),IF($B115=2026,1,IF($B115=2027,3,5)))+($C115-1)*16</f>
        <v>38</v>
      </c>
      <c r="G115" s="7">
        <f>INDEX(Ladder!$B$6:$G$21,MATCH($D115,Ladder!$A$6:$A$21,0),IF($B115=2026,2,IF($B115=2027,4,6)))+($C115-1)*16</f>
        <v>38</v>
      </c>
      <c r="H115" s="7" t="str">
        <f t="shared" si="1"/>
        <v>#38</v>
      </c>
      <c r="I115" s="9">
        <f>ROUND(AVERAGEIFS('Pick Values'!$B$2:$B$81,'Pick Values'!$A$2:$A$81,"&gt;="&amp;$F115,'Pick Values'!$A$2:$A$81,"&lt;="&amp;$G115),0)</f>
        <v>502</v>
      </c>
      <c r="J115" s="9">
        <f>IF($B115=2027,ROUND($I115*Ladder!$B$2,0),IF($B115=2028,ROUND($I115*Ladder!$B$3,0),$I115))</f>
        <v>502</v>
      </c>
    </row>
    <row r="116" spans="1:10" x14ac:dyDescent="0.3">
      <c r="A116" s="7">
        <v>114</v>
      </c>
      <c r="B116" s="7">
        <v>2026</v>
      </c>
      <c r="C116" s="7">
        <v>4</v>
      </c>
      <c r="D116" s="8" t="s">
        <v>24</v>
      </c>
      <c r="E116" s="15" t="s">
        <v>28</v>
      </c>
      <c r="F116" s="7">
        <f>INDEX(Ladder!$B$6:$G$21,MATCH($D116,Ladder!$A$6:$A$21,0),IF($B116=2026,1,IF($B116=2027,3,5)))+($C116-1)*16</f>
        <v>54</v>
      </c>
      <c r="G116" s="7">
        <f>INDEX(Ladder!$B$6:$G$21,MATCH($D116,Ladder!$A$6:$A$21,0),IF($B116=2026,2,IF($B116=2027,4,6)))+($C116-1)*16</f>
        <v>54</v>
      </c>
      <c r="H116" s="7" t="str">
        <f t="shared" si="1"/>
        <v>#54</v>
      </c>
      <c r="I116" s="9">
        <f>ROUND(AVERAGEIFS('Pick Values'!$B$2:$B$81,'Pick Values'!$A$2:$A$81,"&gt;="&amp;$F116,'Pick Values'!$A$2:$A$81,"&lt;="&amp;$G116),0)</f>
        <v>240</v>
      </c>
      <c r="J116" s="9">
        <f>IF($B116=2027,ROUND($I116*Ladder!$B$2,0),IF($B116=2028,ROUND($I116*Ladder!$B$3,0),$I116))</f>
        <v>240</v>
      </c>
    </row>
    <row r="117" spans="1:10" x14ac:dyDescent="0.3">
      <c r="A117" s="7">
        <v>115</v>
      </c>
      <c r="B117" s="7">
        <v>2026</v>
      </c>
      <c r="C117" s="7">
        <v>5</v>
      </c>
      <c r="D117" s="8" t="s">
        <v>24</v>
      </c>
      <c r="E117" s="15" t="s">
        <v>27</v>
      </c>
      <c r="F117" s="7">
        <f>INDEX(Ladder!$B$6:$G$21,MATCH($D117,Ladder!$A$6:$A$21,0),IF($B117=2026,1,IF($B117=2027,3,5)))+($C117-1)*16</f>
        <v>70</v>
      </c>
      <c r="G117" s="7">
        <f>INDEX(Ladder!$B$6:$G$21,MATCH($D117,Ladder!$A$6:$A$21,0),IF($B117=2026,2,IF($B117=2027,4,6)))+($C117-1)*16</f>
        <v>70</v>
      </c>
      <c r="H117" s="7" t="str">
        <f t="shared" si="1"/>
        <v>#70</v>
      </c>
      <c r="I117" s="9">
        <f>ROUND(AVERAGEIFS('Pick Values'!$B$2:$B$81,'Pick Values'!$A$2:$A$81,"&gt;="&amp;$F117,'Pick Values'!$A$2:$A$81,"&lt;="&amp;$G117),0)</f>
        <v>0</v>
      </c>
      <c r="J117" s="9">
        <f>IF($B117=2027,ROUND($I117*Ladder!$B$2,0),IF($B117=2028,ROUND($I117*Ladder!$B$3,0),$I117))</f>
        <v>0</v>
      </c>
    </row>
    <row r="118" spans="1:10" x14ac:dyDescent="0.3">
      <c r="A118" s="7">
        <v>116</v>
      </c>
      <c r="B118" s="7">
        <v>2027</v>
      </c>
      <c r="C118" s="7">
        <v>1</v>
      </c>
      <c r="D118" s="8" t="s">
        <v>24</v>
      </c>
      <c r="E118" s="15" t="s">
        <v>24</v>
      </c>
      <c r="F118" s="7">
        <f>INDEX(Ladder!$B$6:$G$21,MATCH($D118,Ladder!$A$6:$A$21,0),IF($B118=2026,1,IF($B118=2027,3,5)))+($C118-1)*16</f>
        <v>6</v>
      </c>
      <c r="G118" s="7">
        <f>INDEX(Ladder!$B$6:$G$21,MATCH($D118,Ladder!$A$6:$A$21,0),IF($B118=2026,2,IF($B118=2027,4,6)))+($C118-1)*16</f>
        <v>6</v>
      </c>
      <c r="H118" s="7" t="str">
        <f t="shared" si="1"/>
        <v>#6</v>
      </c>
      <c r="I118" s="9">
        <f>ROUND(AVERAGEIFS('Pick Values'!$B$2:$B$81,'Pick Values'!$A$2:$A$81,"&gt;="&amp;$F118,'Pick Values'!$A$2:$A$81,"&lt;="&amp;$G118),0)</f>
        <v>1572</v>
      </c>
      <c r="J118" s="9">
        <f>IF($B118=2027,ROUND($I118*Ladder!$B$2,0),IF($B118=2028,ROUND($I118*Ladder!$B$3,0),$I118))</f>
        <v>1415</v>
      </c>
    </row>
    <row r="119" spans="1:10" x14ac:dyDescent="0.3">
      <c r="A119" s="7">
        <v>117</v>
      </c>
      <c r="B119" s="7">
        <v>2027</v>
      </c>
      <c r="C119" s="7">
        <v>2</v>
      </c>
      <c r="D119" s="8" t="s">
        <v>24</v>
      </c>
      <c r="E119" s="15" t="s">
        <v>20</v>
      </c>
      <c r="F119" s="7">
        <f>INDEX(Ladder!$B$6:$G$21,MATCH($D119,Ladder!$A$6:$A$21,0),IF($B119=2026,1,IF($B119=2027,3,5)))+($C119-1)*16</f>
        <v>22</v>
      </c>
      <c r="G119" s="7">
        <f>INDEX(Ladder!$B$6:$G$21,MATCH($D119,Ladder!$A$6:$A$21,0),IF($B119=2026,2,IF($B119=2027,4,6)))+($C119-1)*16</f>
        <v>22</v>
      </c>
      <c r="H119" s="7" t="str">
        <f t="shared" si="1"/>
        <v>#22</v>
      </c>
      <c r="I119" s="9">
        <f>ROUND(AVERAGEIFS('Pick Values'!$B$2:$B$81,'Pick Values'!$A$2:$A$81,"&gt;="&amp;$F119,'Pick Values'!$A$2:$A$81,"&lt;="&amp;$G119),0)</f>
        <v>774</v>
      </c>
      <c r="J119" s="9">
        <f>IF($B119=2027,ROUND($I119*Ladder!$B$2,0),IF($B119=2028,ROUND($I119*Ladder!$B$3,0),$I119))</f>
        <v>697</v>
      </c>
    </row>
    <row r="120" spans="1:10" x14ac:dyDescent="0.3">
      <c r="A120" s="7">
        <v>118</v>
      </c>
      <c r="B120" s="7">
        <v>2027</v>
      </c>
      <c r="C120" s="7">
        <v>3</v>
      </c>
      <c r="D120" s="8" t="s">
        <v>24</v>
      </c>
      <c r="E120" s="15" t="s">
        <v>17</v>
      </c>
      <c r="F120" s="7">
        <f>INDEX(Ladder!$B$6:$G$21,MATCH($D120,Ladder!$A$6:$A$21,0),IF($B120=2026,1,IF($B120=2027,3,5)))+($C120-1)*16</f>
        <v>38</v>
      </c>
      <c r="G120" s="7">
        <f>INDEX(Ladder!$B$6:$G$21,MATCH($D120,Ladder!$A$6:$A$21,0),IF($B120=2026,2,IF($B120=2027,4,6)))+($C120-1)*16</f>
        <v>38</v>
      </c>
      <c r="H120" s="7" t="str">
        <f t="shared" si="1"/>
        <v>#38</v>
      </c>
      <c r="I120" s="9">
        <f>ROUND(AVERAGEIFS('Pick Values'!$B$2:$B$81,'Pick Values'!$A$2:$A$81,"&gt;="&amp;$F120,'Pick Values'!$A$2:$A$81,"&lt;="&amp;$G120),0)</f>
        <v>502</v>
      </c>
      <c r="J120" s="9">
        <f>IF($B120=2027,ROUND($I120*Ladder!$B$2,0),IF($B120=2028,ROUND($I120*Ladder!$B$3,0),$I120))</f>
        <v>452</v>
      </c>
    </row>
    <row r="121" spans="1:10" x14ac:dyDescent="0.3">
      <c r="A121" s="7">
        <v>119</v>
      </c>
      <c r="B121" s="7">
        <v>2027</v>
      </c>
      <c r="C121" s="7">
        <v>4</v>
      </c>
      <c r="D121" s="8" t="s">
        <v>24</v>
      </c>
      <c r="E121" s="15" t="s">
        <v>20</v>
      </c>
      <c r="F121" s="7">
        <f>INDEX(Ladder!$B$6:$G$21,MATCH($D121,Ladder!$A$6:$A$21,0),IF($B121=2026,1,IF($B121=2027,3,5)))+($C121-1)*16</f>
        <v>54</v>
      </c>
      <c r="G121" s="7">
        <f>INDEX(Ladder!$B$6:$G$21,MATCH($D121,Ladder!$A$6:$A$21,0),IF($B121=2026,2,IF($B121=2027,4,6)))+($C121-1)*16</f>
        <v>54</v>
      </c>
      <c r="H121" s="7" t="str">
        <f t="shared" si="1"/>
        <v>#54</v>
      </c>
      <c r="I121" s="9">
        <f>ROUND(AVERAGEIFS('Pick Values'!$B$2:$B$81,'Pick Values'!$A$2:$A$81,"&gt;="&amp;$F121,'Pick Values'!$A$2:$A$81,"&lt;="&amp;$G121),0)</f>
        <v>240</v>
      </c>
      <c r="J121" s="9">
        <f>IF($B121=2027,ROUND($I121*Ladder!$B$2,0),IF($B121=2028,ROUND($I121*Ladder!$B$3,0),$I121))</f>
        <v>216</v>
      </c>
    </row>
    <row r="122" spans="1:10" x14ac:dyDescent="0.3">
      <c r="A122" s="7">
        <v>120</v>
      </c>
      <c r="B122" s="7">
        <v>2027</v>
      </c>
      <c r="C122" s="7">
        <v>5</v>
      </c>
      <c r="D122" s="8" t="s">
        <v>24</v>
      </c>
      <c r="E122" s="15" t="s">
        <v>24</v>
      </c>
      <c r="F122" s="7">
        <f>INDEX(Ladder!$B$6:$G$21,MATCH($D122,Ladder!$A$6:$A$21,0),IF($B122=2026,1,IF($B122=2027,3,5)))+($C122-1)*16</f>
        <v>70</v>
      </c>
      <c r="G122" s="7">
        <f>INDEX(Ladder!$B$6:$G$21,MATCH($D122,Ladder!$A$6:$A$21,0),IF($B122=2026,2,IF($B122=2027,4,6)))+($C122-1)*16</f>
        <v>70</v>
      </c>
      <c r="H122" s="7" t="str">
        <f t="shared" si="1"/>
        <v>#70</v>
      </c>
      <c r="I122" s="9">
        <f>ROUND(AVERAGEIFS('Pick Values'!$B$2:$B$81,'Pick Values'!$A$2:$A$81,"&gt;="&amp;$F122,'Pick Values'!$A$2:$A$81,"&lt;="&amp;$G122),0)</f>
        <v>0</v>
      </c>
      <c r="J122" s="9">
        <f>IF($B122=2027,ROUND($I122*Ladder!$B$2,0),IF($B122=2028,ROUND($I122*Ladder!$B$3,0),$I122))</f>
        <v>0</v>
      </c>
    </row>
    <row r="123" spans="1:10" x14ac:dyDescent="0.3">
      <c r="A123" s="7">
        <v>121</v>
      </c>
      <c r="B123" s="7">
        <v>2026</v>
      </c>
      <c r="C123" s="7">
        <v>1</v>
      </c>
      <c r="D123" s="8" t="s">
        <v>25</v>
      </c>
      <c r="E123" s="15" t="s">
        <v>13</v>
      </c>
      <c r="F123" s="7">
        <f>INDEX(Ladder!$B$6:$G$21,MATCH($D123,Ladder!$A$6:$A$21,0),IF($B123=2026,1,IF($B123=2027,3,5)))+($C123-1)*16</f>
        <v>12</v>
      </c>
      <c r="G123" s="7">
        <f>INDEX(Ladder!$B$6:$G$21,MATCH($D123,Ladder!$A$6:$A$21,0),IF($B123=2026,2,IF($B123=2027,4,6)))+($C123-1)*16</f>
        <v>12</v>
      </c>
      <c r="H123" s="7" t="str">
        <f t="shared" si="1"/>
        <v>#12</v>
      </c>
      <c r="I123" s="9">
        <f>ROUND(AVERAGEIFS('Pick Values'!$B$2:$B$81,'Pick Values'!$A$2:$A$81,"&gt;="&amp;$F123,'Pick Values'!$A$2:$A$81,"&lt;="&amp;$G123),0)</f>
        <v>1232</v>
      </c>
      <c r="J123" s="9">
        <f>IF($B123=2027,ROUND($I123*Ladder!$B$2,0),IF($B123=2028,ROUND($I123*Ladder!$B$3,0),$I123))</f>
        <v>1232</v>
      </c>
    </row>
    <row r="124" spans="1:10" x14ac:dyDescent="0.3">
      <c r="A124" s="7">
        <v>122</v>
      </c>
      <c r="B124" s="7">
        <v>2026</v>
      </c>
      <c r="C124" s="7">
        <v>2</v>
      </c>
      <c r="D124" s="8" t="s">
        <v>25</v>
      </c>
      <c r="E124" s="15" t="s">
        <v>18</v>
      </c>
      <c r="F124" s="7">
        <f>INDEX(Ladder!$B$6:$G$21,MATCH($D124,Ladder!$A$6:$A$21,0),IF($B124=2026,1,IF($B124=2027,3,5)))+($C124-1)*16</f>
        <v>28</v>
      </c>
      <c r="G124" s="7">
        <f>INDEX(Ladder!$B$6:$G$21,MATCH($D124,Ladder!$A$6:$A$21,0),IF($B124=2026,2,IF($B124=2027,4,6)))+($C124-1)*16</f>
        <v>28</v>
      </c>
      <c r="H124" s="7" t="str">
        <f t="shared" si="1"/>
        <v>#28</v>
      </c>
      <c r="I124" s="9">
        <f>ROUND(AVERAGEIFS('Pick Values'!$B$2:$B$81,'Pick Values'!$A$2:$A$81,"&gt;="&amp;$F124,'Pick Values'!$A$2:$A$81,"&lt;="&amp;$G124),0)</f>
        <v>629</v>
      </c>
      <c r="J124" s="9">
        <f>IF($B124=2027,ROUND($I124*Ladder!$B$2,0),IF($B124=2028,ROUND($I124*Ladder!$B$3,0),$I124))</f>
        <v>629</v>
      </c>
    </row>
    <row r="125" spans="1:10" x14ac:dyDescent="0.3">
      <c r="A125" s="7">
        <v>123</v>
      </c>
      <c r="B125" s="7">
        <v>2026</v>
      </c>
      <c r="C125" s="7">
        <v>3</v>
      </c>
      <c r="D125" s="8" t="s">
        <v>25</v>
      </c>
      <c r="E125" s="15" t="s">
        <v>23</v>
      </c>
      <c r="F125" s="7">
        <f>INDEX(Ladder!$B$6:$G$21,MATCH($D125,Ladder!$A$6:$A$21,0),IF($B125=2026,1,IF($B125=2027,3,5)))+($C125-1)*16</f>
        <v>44</v>
      </c>
      <c r="G125" s="7">
        <f>INDEX(Ladder!$B$6:$G$21,MATCH($D125,Ladder!$A$6:$A$21,0),IF($B125=2026,2,IF($B125=2027,4,6)))+($C125-1)*16</f>
        <v>44</v>
      </c>
      <c r="H125" s="7" t="str">
        <f t="shared" si="1"/>
        <v>#44</v>
      </c>
      <c r="I125" s="9">
        <f>ROUND(AVERAGEIFS('Pick Values'!$B$2:$B$81,'Pick Values'!$A$2:$A$81,"&gt;="&amp;$F125,'Pick Values'!$A$2:$A$81,"&lt;="&amp;$G125),0)</f>
        <v>384</v>
      </c>
      <c r="J125" s="9">
        <f>IF($B125=2027,ROUND($I125*Ladder!$B$2,0),IF($B125=2028,ROUND($I125*Ladder!$B$3,0),$I125))</f>
        <v>384</v>
      </c>
    </row>
    <row r="126" spans="1:10" x14ac:dyDescent="0.3">
      <c r="A126" s="7">
        <v>124</v>
      </c>
      <c r="B126" s="7">
        <v>2026</v>
      </c>
      <c r="C126" s="7">
        <v>4</v>
      </c>
      <c r="D126" s="8" t="s">
        <v>25</v>
      </c>
      <c r="E126" s="15" t="s">
        <v>19</v>
      </c>
      <c r="F126" s="7">
        <f>INDEX(Ladder!$B$6:$G$21,MATCH($D126,Ladder!$A$6:$A$21,0),IF($B126=2026,1,IF($B126=2027,3,5)))+($C126-1)*16</f>
        <v>60</v>
      </c>
      <c r="G126" s="7">
        <f>INDEX(Ladder!$B$6:$G$21,MATCH($D126,Ladder!$A$6:$A$21,0),IF($B126=2026,2,IF($B126=2027,4,6)))+($C126-1)*16</f>
        <v>60</v>
      </c>
      <c r="H126" s="7" t="str">
        <f t="shared" si="1"/>
        <v>#60</v>
      </c>
      <c r="I126" s="9">
        <f>ROUND(AVERAGEIFS('Pick Values'!$B$2:$B$81,'Pick Values'!$A$2:$A$81,"&gt;="&amp;$F126,'Pick Values'!$A$2:$A$81,"&lt;="&amp;$G126),0)</f>
        <v>190</v>
      </c>
      <c r="J126" s="9">
        <f>IF($B126=2027,ROUND($I126*Ladder!$B$2,0),IF($B126=2028,ROUND($I126*Ladder!$B$3,0),$I126))</f>
        <v>190</v>
      </c>
    </row>
    <row r="127" spans="1:10" x14ac:dyDescent="0.3">
      <c r="A127" s="7">
        <v>125</v>
      </c>
      <c r="B127" s="7">
        <v>2026</v>
      </c>
      <c r="C127" s="7">
        <v>5</v>
      </c>
      <c r="D127" s="8" t="s">
        <v>25</v>
      </c>
      <c r="E127" s="15" t="s">
        <v>23</v>
      </c>
      <c r="F127" s="7">
        <f>INDEX(Ladder!$B$6:$G$21,MATCH($D127,Ladder!$A$6:$A$21,0),IF($B127=2026,1,IF($B127=2027,3,5)))+($C127-1)*16</f>
        <v>76</v>
      </c>
      <c r="G127" s="7">
        <f>INDEX(Ladder!$B$6:$G$21,MATCH($D127,Ladder!$A$6:$A$21,0),IF($B127=2026,2,IF($B127=2027,4,6)))+($C127-1)*16</f>
        <v>76</v>
      </c>
      <c r="H127" s="7" t="str">
        <f t="shared" si="1"/>
        <v>#76</v>
      </c>
      <c r="I127" s="9">
        <f>ROUND(AVERAGEIFS('Pick Values'!$B$2:$B$81,'Pick Values'!$A$2:$A$81,"&gt;="&amp;$F127,'Pick Values'!$A$2:$A$81,"&lt;="&amp;$G127),0)</f>
        <v>0</v>
      </c>
      <c r="J127" s="9">
        <f>IF($B127=2027,ROUND($I127*Ladder!$B$2,0),IF($B127=2028,ROUND($I127*Ladder!$B$3,0),$I127))</f>
        <v>0</v>
      </c>
    </row>
    <row r="128" spans="1:10" x14ac:dyDescent="0.3">
      <c r="A128" s="7">
        <v>126</v>
      </c>
      <c r="B128" s="7">
        <v>2027</v>
      </c>
      <c r="C128" s="7">
        <v>1</v>
      </c>
      <c r="D128" s="8" t="s">
        <v>25</v>
      </c>
      <c r="E128" s="15" t="s">
        <v>13</v>
      </c>
      <c r="F128" s="7">
        <f>INDEX(Ladder!$B$6:$G$21,MATCH($D128,Ladder!$A$6:$A$21,0),IF($B128=2026,1,IF($B128=2027,3,5)))+($C128-1)*16</f>
        <v>12</v>
      </c>
      <c r="G128" s="7">
        <f>INDEX(Ladder!$B$6:$G$21,MATCH($D128,Ladder!$A$6:$A$21,0),IF($B128=2026,2,IF($B128=2027,4,6)))+($C128-1)*16</f>
        <v>12</v>
      </c>
      <c r="H128" s="7" t="str">
        <f t="shared" si="1"/>
        <v>#12</v>
      </c>
      <c r="I128" s="9">
        <f>ROUND(AVERAGEIFS('Pick Values'!$B$2:$B$81,'Pick Values'!$A$2:$A$81,"&gt;="&amp;$F128,'Pick Values'!$A$2:$A$81,"&lt;="&amp;$G128),0)</f>
        <v>1232</v>
      </c>
      <c r="J128" s="9">
        <f>IF($B128=2027,ROUND($I128*Ladder!$B$2,0),IF($B128=2028,ROUND($I128*Ladder!$B$3,0),$I128))</f>
        <v>1109</v>
      </c>
    </row>
    <row r="129" spans="1:10" x14ac:dyDescent="0.3">
      <c r="A129" s="7">
        <v>127</v>
      </c>
      <c r="B129" s="7">
        <v>2027</v>
      </c>
      <c r="C129" s="7">
        <v>2</v>
      </c>
      <c r="D129" s="8" t="s">
        <v>25</v>
      </c>
      <c r="E129" s="15" t="s">
        <v>25</v>
      </c>
      <c r="F129" s="7">
        <f>INDEX(Ladder!$B$6:$G$21,MATCH($D129,Ladder!$A$6:$A$21,0),IF($B129=2026,1,IF($B129=2027,3,5)))+($C129-1)*16</f>
        <v>28</v>
      </c>
      <c r="G129" s="7">
        <f>INDEX(Ladder!$B$6:$G$21,MATCH($D129,Ladder!$A$6:$A$21,0),IF($B129=2026,2,IF($B129=2027,4,6)))+($C129-1)*16</f>
        <v>28</v>
      </c>
      <c r="H129" s="7" t="str">
        <f t="shared" si="1"/>
        <v>#28</v>
      </c>
      <c r="I129" s="9">
        <f>ROUND(AVERAGEIFS('Pick Values'!$B$2:$B$81,'Pick Values'!$A$2:$A$81,"&gt;="&amp;$F129,'Pick Values'!$A$2:$A$81,"&lt;="&amp;$G129),0)</f>
        <v>629</v>
      </c>
      <c r="J129" s="9">
        <f>IF($B129=2027,ROUND($I129*Ladder!$B$2,0),IF($B129=2028,ROUND($I129*Ladder!$B$3,0),$I129))</f>
        <v>566</v>
      </c>
    </row>
    <row r="130" spans="1:10" x14ac:dyDescent="0.3">
      <c r="A130" s="7">
        <v>128</v>
      </c>
      <c r="B130" s="7">
        <v>2027</v>
      </c>
      <c r="C130" s="7">
        <v>3</v>
      </c>
      <c r="D130" s="8" t="s">
        <v>25</v>
      </c>
      <c r="E130" s="15" t="s">
        <v>25</v>
      </c>
      <c r="F130" s="7">
        <f>INDEX(Ladder!$B$6:$G$21,MATCH($D130,Ladder!$A$6:$A$21,0),IF($B130=2026,1,IF($B130=2027,3,5)))+($C130-1)*16</f>
        <v>44</v>
      </c>
      <c r="G130" s="7">
        <f>INDEX(Ladder!$B$6:$G$21,MATCH($D130,Ladder!$A$6:$A$21,0),IF($B130=2026,2,IF($B130=2027,4,6)))+($C130-1)*16</f>
        <v>44</v>
      </c>
      <c r="H130" s="7" t="str">
        <f t="shared" si="1"/>
        <v>#44</v>
      </c>
      <c r="I130" s="9">
        <f>ROUND(AVERAGEIFS('Pick Values'!$B$2:$B$81,'Pick Values'!$A$2:$A$81,"&gt;="&amp;$F130,'Pick Values'!$A$2:$A$81,"&lt;="&amp;$G130),0)</f>
        <v>384</v>
      </c>
      <c r="J130" s="9">
        <f>IF($B130=2027,ROUND($I130*Ladder!$B$2,0),IF($B130=2028,ROUND($I130*Ladder!$B$3,0),$I130))</f>
        <v>346</v>
      </c>
    </row>
    <row r="131" spans="1:10" x14ac:dyDescent="0.3">
      <c r="A131" s="7">
        <v>129</v>
      </c>
      <c r="B131" s="7">
        <v>2027</v>
      </c>
      <c r="C131" s="7">
        <v>4</v>
      </c>
      <c r="D131" s="8" t="s">
        <v>25</v>
      </c>
      <c r="E131" s="15" t="s">
        <v>15</v>
      </c>
      <c r="F131" s="7">
        <f>INDEX(Ladder!$B$6:$G$21,MATCH($D131,Ladder!$A$6:$A$21,0),IF($B131=2026,1,IF($B131=2027,3,5)))+($C131-1)*16</f>
        <v>60</v>
      </c>
      <c r="G131" s="7">
        <f>INDEX(Ladder!$B$6:$G$21,MATCH($D131,Ladder!$A$6:$A$21,0),IF($B131=2026,2,IF($B131=2027,4,6)))+($C131-1)*16</f>
        <v>60</v>
      </c>
      <c r="H131" s="7" t="str">
        <f t="shared" ref="H131:H194" si="2">IF($F131=$G131,"#"&amp;$F131,"#"&amp;$F131&amp;"-"&amp;$G131)</f>
        <v>#60</v>
      </c>
      <c r="I131" s="9">
        <f>ROUND(AVERAGEIFS('Pick Values'!$B$2:$B$81,'Pick Values'!$A$2:$A$81,"&gt;="&amp;$F131,'Pick Values'!$A$2:$A$81,"&lt;="&amp;$G131),0)</f>
        <v>190</v>
      </c>
      <c r="J131" s="9">
        <f>IF($B131=2027,ROUND($I131*Ladder!$B$2,0),IF($B131=2028,ROUND($I131*Ladder!$B$3,0),$I131))</f>
        <v>171</v>
      </c>
    </row>
    <row r="132" spans="1:10" x14ac:dyDescent="0.3">
      <c r="A132" s="7">
        <v>130</v>
      </c>
      <c r="B132" s="7">
        <v>2027</v>
      </c>
      <c r="C132" s="7">
        <v>5</v>
      </c>
      <c r="D132" s="8" t="s">
        <v>25</v>
      </c>
      <c r="E132" s="15" t="s">
        <v>15</v>
      </c>
      <c r="F132" s="7">
        <f>INDEX(Ladder!$B$6:$G$21,MATCH($D132,Ladder!$A$6:$A$21,0),IF($B132=2026,1,IF($B132=2027,3,5)))+($C132-1)*16</f>
        <v>76</v>
      </c>
      <c r="G132" s="7">
        <f>INDEX(Ladder!$B$6:$G$21,MATCH($D132,Ladder!$A$6:$A$21,0),IF($B132=2026,2,IF($B132=2027,4,6)))+($C132-1)*16</f>
        <v>76</v>
      </c>
      <c r="H132" s="7" t="str">
        <f t="shared" si="2"/>
        <v>#76</v>
      </c>
      <c r="I132" s="9">
        <f>ROUND(AVERAGEIFS('Pick Values'!$B$2:$B$81,'Pick Values'!$A$2:$A$81,"&gt;="&amp;$F132,'Pick Values'!$A$2:$A$81,"&lt;="&amp;$G132),0)</f>
        <v>0</v>
      </c>
      <c r="J132" s="9">
        <f>IF($B132=2027,ROUND($I132*Ladder!$B$2,0),IF($B132=2028,ROUND($I132*Ladder!$B$3,0),$I132))</f>
        <v>0</v>
      </c>
    </row>
    <row r="133" spans="1:10" x14ac:dyDescent="0.3">
      <c r="A133" s="7">
        <v>131</v>
      </c>
      <c r="B133" s="7">
        <v>2026</v>
      </c>
      <c r="C133" s="7">
        <v>1</v>
      </c>
      <c r="D133" s="8" t="s">
        <v>26</v>
      </c>
      <c r="E133" s="15" t="s">
        <v>21</v>
      </c>
      <c r="F133" s="7">
        <f>INDEX(Ladder!$B$6:$G$21,MATCH($D133,Ladder!$A$6:$A$21,0),IF($B133=2026,1,IF($B133=2027,3,5)))+($C133-1)*16</f>
        <v>14</v>
      </c>
      <c r="G133" s="7">
        <f>INDEX(Ladder!$B$6:$G$21,MATCH($D133,Ladder!$A$6:$A$21,0),IF($B133=2026,2,IF($B133=2027,4,6)))+($C133-1)*16</f>
        <v>14</v>
      </c>
      <c r="H133" s="7" t="str">
        <f t="shared" si="2"/>
        <v>#14</v>
      </c>
      <c r="I133" s="9">
        <f>ROUND(AVERAGEIFS('Pick Values'!$B$2:$B$81,'Pick Values'!$A$2:$A$81,"&gt;="&amp;$F133,'Pick Values'!$A$2:$A$81,"&lt;="&amp;$G133),0)</f>
        <v>1002</v>
      </c>
      <c r="J133" s="9">
        <f>IF($B133=2027,ROUND($I133*Ladder!$B$2,0),IF($B133=2028,ROUND($I133*Ladder!$B$3,0),$I133))</f>
        <v>1002</v>
      </c>
    </row>
    <row r="134" spans="1:10" x14ac:dyDescent="0.3">
      <c r="A134" s="7">
        <v>132</v>
      </c>
      <c r="B134" s="7">
        <v>2026</v>
      </c>
      <c r="C134" s="7">
        <v>2</v>
      </c>
      <c r="D134" s="8" t="s">
        <v>26</v>
      </c>
      <c r="E134" s="15" t="s">
        <v>15</v>
      </c>
      <c r="F134" s="7">
        <f>INDEX(Ladder!$B$6:$G$21,MATCH($D134,Ladder!$A$6:$A$21,0),IF($B134=2026,1,IF($B134=2027,3,5)))+($C134-1)*16</f>
        <v>30</v>
      </c>
      <c r="G134" s="7">
        <f>INDEX(Ladder!$B$6:$G$21,MATCH($D134,Ladder!$A$6:$A$21,0),IF($B134=2026,2,IF($B134=2027,4,6)))+($C134-1)*16</f>
        <v>30</v>
      </c>
      <c r="H134" s="7" t="str">
        <f t="shared" si="2"/>
        <v>#30</v>
      </c>
      <c r="I134" s="9">
        <f>ROUND(AVERAGEIFS('Pick Values'!$B$2:$B$81,'Pick Values'!$A$2:$A$81,"&gt;="&amp;$F134,'Pick Values'!$A$2:$A$81,"&lt;="&amp;$G134),0)</f>
        <v>601</v>
      </c>
      <c r="J134" s="9">
        <f>IF($B134=2027,ROUND($I134*Ladder!$B$2,0),IF($B134=2028,ROUND($I134*Ladder!$B$3,0),$I134))</f>
        <v>601</v>
      </c>
    </row>
    <row r="135" spans="1:10" x14ac:dyDescent="0.3">
      <c r="A135" s="7">
        <v>133</v>
      </c>
      <c r="B135" s="7">
        <v>2026</v>
      </c>
      <c r="C135" s="7">
        <v>3</v>
      </c>
      <c r="D135" s="8" t="s">
        <v>26</v>
      </c>
      <c r="E135" s="15" t="s">
        <v>18</v>
      </c>
      <c r="F135" s="7">
        <f>INDEX(Ladder!$B$6:$G$21,MATCH($D135,Ladder!$A$6:$A$21,0),IF($B135=2026,1,IF($B135=2027,3,5)))+($C135-1)*16</f>
        <v>46</v>
      </c>
      <c r="G135" s="7">
        <f>INDEX(Ladder!$B$6:$G$21,MATCH($D135,Ladder!$A$6:$A$21,0),IF($B135=2026,2,IF($B135=2027,4,6)))+($C135-1)*16</f>
        <v>46</v>
      </c>
      <c r="H135" s="7" t="str">
        <f t="shared" si="2"/>
        <v>#46</v>
      </c>
      <c r="I135" s="9">
        <f>ROUND(AVERAGEIFS('Pick Values'!$B$2:$B$81,'Pick Values'!$A$2:$A$81,"&gt;="&amp;$F135,'Pick Values'!$A$2:$A$81,"&lt;="&amp;$G135),0)</f>
        <v>338</v>
      </c>
      <c r="J135" s="9">
        <f>IF($B135=2027,ROUND($I135*Ladder!$B$2,0),IF($B135=2028,ROUND($I135*Ladder!$B$3,0),$I135))</f>
        <v>338</v>
      </c>
    </row>
    <row r="136" spans="1:10" x14ac:dyDescent="0.3">
      <c r="A136" s="7">
        <v>134</v>
      </c>
      <c r="B136" s="7">
        <v>2026</v>
      </c>
      <c r="C136" s="7">
        <v>4</v>
      </c>
      <c r="D136" s="8" t="s">
        <v>26</v>
      </c>
      <c r="E136" s="15" t="s">
        <v>26</v>
      </c>
      <c r="F136" s="7">
        <f>INDEX(Ladder!$B$6:$G$21,MATCH($D136,Ladder!$A$6:$A$21,0),IF($B136=2026,1,IF($B136=2027,3,5)))+($C136-1)*16</f>
        <v>62</v>
      </c>
      <c r="G136" s="7">
        <f>INDEX(Ladder!$B$6:$G$21,MATCH($D136,Ladder!$A$6:$A$21,0),IF($B136=2026,2,IF($B136=2027,4,6)))+($C136-1)*16</f>
        <v>62</v>
      </c>
      <c r="H136" s="7" t="str">
        <f t="shared" si="2"/>
        <v>#62</v>
      </c>
      <c r="I136" s="9">
        <f>ROUND(AVERAGEIFS('Pick Values'!$B$2:$B$81,'Pick Values'!$A$2:$A$81,"&gt;="&amp;$F136,'Pick Values'!$A$2:$A$81,"&lt;="&amp;$G136),0)</f>
        <v>182</v>
      </c>
      <c r="J136" s="9">
        <f>IF($B136=2027,ROUND($I136*Ladder!$B$2,0),IF($B136=2028,ROUND($I136*Ladder!$B$3,0),$I136))</f>
        <v>182</v>
      </c>
    </row>
    <row r="137" spans="1:10" x14ac:dyDescent="0.3">
      <c r="A137" s="7">
        <v>135</v>
      </c>
      <c r="B137" s="7">
        <v>2026</v>
      </c>
      <c r="C137" s="7">
        <v>5</v>
      </c>
      <c r="D137" s="8" t="s">
        <v>26</v>
      </c>
      <c r="E137" s="15" t="s">
        <v>24</v>
      </c>
      <c r="F137" s="7">
        <f>INDEX(Ladder!$B$6:$G$21,MATCH($D137,Ladder!$A$6:$A$21,0),IF($B137=2026,1,IF($B137=2027,3,5)))+($C137-1)*16</f>
        <v>78</v>
      </c>
      <c r="G137" s="7">
        <f>INDEX(Ladder!$B$6:$G$21,MATCH($D137,Ladder!$A$6:$A$21,0),IF($B137=2026,2,IF($B137=2027,4,6)))+($C137-1)*16</f>
        <v>78</v>
      </c>
      <c r="H137" s="7" t="str">
        <f t="shared" si="2"/>
        <v>#78</v>
      </c>
      <c r="I137" s="9">
        <f>ROUND(AVERAGEIFS('Pick Values'!$B$2:$B$81,'Pick Values'!$A$2:$A$81,"&gt;="&amp;$F137,'Pick Values'!$A$2:$A$81,"&lt;="&amp;$G137),0)</f>
        <v>0</v>
      </c>
      <c r="J137" s="9">
        <f>IF($B137=2027,ROUND($I137*Ladder!$B$2,0),IF($B137=2028,ROUND($I137*Ladder!$B$3,0),$I137))</f>
        <v>0</v>
      </c>
    </row>
    <row r="138" spans="1:10" x14ac:dyDescent="0.3">
      <c r="A138" s="7">
        <v>136</v>
      </c>
      <c r="B138" s="7">
        <v>2027</v>
      </c>
      <c r="C138" s="7">
        <v>1</v>
      </c>
      <c r="D138" s="8" t="s">
        <v>26</v>
      </c>
      <c r="E138" s="15" t="s">
        <v>13</v>
      </c>
      <c r="F138" s="7">
        <f>INDEX(Ladder!$B$6:$G$21,MATCH($D138,Ladder!$A$6:$A$21,0),IF($B138=2026,1,IF($B138=2027,3,5)))+($C138-1)*16</f>
        <v>14</v>
      </c>
      <c r="G138" s="7">
        <f>INDEX(Ladder!$B$6:$G$21,MATCH($D138,Ladder!$A$6:$A$21,0),IF($B138=2026,2,IF($B138=2027,4,6)))+($C138-1)*16</f>
        <v>14</v>
      </c>
      <c r="H138" s="7" t="str">
        <f t="shared" si="2"/>
        <v>#14</v>
      </c>
      <c r="I138" s="9">
        <f>ROUND(AVERAGEIFS('Pick Values'!$B$2:$B$81,'Pick Values'!$A$2:$A$81,"&gt;="&amp;$F138,'Pick Values'!$A$2:$A$81,"&lt;="&amp;$G138),0)</f>
        <v>1002</v>
      </c>
      <c r="J138" s="9">
        <f>IF($B138=2027,ROUND($I138*Ladder!$B$2,0),IF($B138=2028,ROUND($I138*Ladder!$B$3,0),$I138))</f>
        <v>902</v>
      </c>
    </row>
    <row r="139" spans="1:10" x14ac:dyDescent="0.3">
      <c r="A139" s="7">
        <v>137</v>
      </c>
      <c r="B139" s="7">
        <v>2027</v>
      </c>
      <c r="C139" s="7">
        <v>2</v>
      </c>
      <c r="D139" s="8" t="s">
        <v>26</v>
      </c>
      <c r="E139" s="15" t="s">
        <v>13</v>
      </c>
      <c r="F139" s="7">
        <f>INDEX(Ladder!$B$6:$G$21,MATCH($D139,Ladder!$A$6:$A$21,0),IF($B139=2026,1,IF($B139=2027,3,5)))+($C139-1)*16</f>
        <v>30</v>
      </c>
      <c r="G139" s="7">
        <f>INDEX(Ladder!$B$6:$G$21,MATCH($D139,Ladder!$A$6:$A$21,0),IF($B139=2026,2,IF($B139=2027,4,6)))+($C139-1)*16</f>
        <v>30</v>
      </c>
      <c r="H139" s="7" t="str">
        <f t="shared" si="2"/>
        <v>#30</v>
      </c>
      <c r="I139" s="9">
        <f>ROUND(AVERAGEIFS('Pick Values'!$B$2:$B$81,'Pick Values'!$A$2:$A$81,"&gt;="&amp;$F139,'Pick Values'!$A$2:$A$81,"&lt;="&amp;$G139),0)</f>
        <v>601</v>
      </c>
      <c r="J139" s="9">
        <f>IF($B139=2027,ROUND($I139*Ladder!$B$2,0),IF($B139=2028,ROUND($I139*Ladder!$B$3,0),$I139))</f>
        <v>541</v>
      </c>
    </row>
    <row r="140" spans="1:10" x14ac:dyDescent="0.3">
      <c r="A140" s="7">
        <v>138</v>
      </c>
      <c r="B140" s="7">
        <v>2027</v>
      </c>
      <c r="C140" s="7">
        <v>3</v>
      </c>
      <c r="D140" s="8" t="s">
        <v>26</v>
      </c>
      <c r="E140" s="15" t="s">
        <v>26</v>
      </c>
      <c r="F140" s="7">
        <f>INDEX(Ladder!$B$6:$G$21,MATCH($D140,Ladder!$A$6:$A$21,0),IF($B140=2026,1,IF($B140=2027,3,5)))+($C140-1)*16</f>
        <v>46</v>
      </c>
      <c r="G140" s="7">
        <f>INDEX(Ladder!$B$6:$G$21,MATCH($D140,Ladder!$A$6:$A$21,0),IF($B140=2026,2,IF($B140=2027,4,6)))+($C140-1)*16</f>
        <v>46</v>
      </c>
      <c r="H140" s="7" t="str">
        <f t="shared" si="2"/>
        <v>#46</v>
      </c>
      <c r="I140" s="9">
        <f>ROUND(AVERAGEIFS('Pick Values'!$B$2:$B$81,'Pick Values'!$A$2:$A$81,"&gt;="&amp;$F140,'Pick Values'!$A$2:$A$81,"&lt;="&amp;$G140),0)</f>
        <v>338</v>
      </c>
      <c r="J140" s="9">
        <f>IF($B140=2027,ROUND($I140*Ladder!$B$2,0),IF($B140=2028,ROUND($I140*Ladder!$B$3,0),$I140))</f>
        <v>304</v>
      </c>
    </row>
    <row r="141" spans="1:10" x14ac:dyDescent="0.3">
      <c r="A141" s="7">
        <v>139</v>
      </c>
      <c r="B141" s="7">
        <v>2027</v>
      </c>
      <c r="C141" s="7">
        <v>4</v>
      </c>
      <c r="D141" s="8" t="s">
        <v>26</v>
      </c>
      <c r="E141" s="15" t="s">
        <v>26</v>
      </c>
      <c r="F141" s="7">
        <f>INDEX(Ladder!$B$6:$G$21,MATCH($D141,Ladder!$A$6:$A$21,0),IF($B141=2026,1,IF($B141=2027,3,5)))+($C141-1)*16</f>
        <v>62</v>
      </c>
      <c r="G141" s="7">
        <f>INDEX(Ladder!$B$6:$G$21,MATCH($D141,Ladder!$A$6:$A$21,0),IF($B141=2026,2,IF($B141=2027,4,6)))+($C141-1)*16</f>
        <v>62</v>
      </c>
      <c r="H141" s="7" t="str">
        <f t="shared" si="2"/>
        <v>#62</v>
      </c>
      <c r="I141" s="9">
        <f>ROUND(AVERAGEIFS('Pick Values'!$B$2:$B$81,'Pick Values'!$A$2:$A$81,"&gt;="&amp;$F141,'Pick Values'!$A$2:$A$81,"&lt;="&amp;$G141),0)</f>
        <v>182</v>
      </c>
      <c r="J141" s="9">
        <f>IF($B141=2027,ROUND($I141*Ladder!$B$2,0),IF($B141=2028,ROUND($I141*Ladder!$B$3,0),$I141))</f>
        <v>164</v>
      </c>
    </row>
    <row r="142" spans="1:10" x14ac:dyDescent="0.3">
      <c r="A142" s="7">
        <v>140</v>
      </c>
      <c r="B142" s="7">
        <v>2027</v>
      </c>
      <c r="C142" s="7">
        <v>5</v>
      </c>
      <c r="D142" s="8" t="s">
        <v>26</v>
      </c>
      <c r="E142" s="15" t="s">
        <v>26</v>
      </c>
      <c r="F142" s="7">
        <f>INDEX(Ladder!$B$6:$G$21,MATCH($D142,Ladder!$A$6:$A$21,0),IF($B142=2026,1,IF($B142=2027,3,5)))+($C142-1)*16</f>
        <v>78</v>
      </c>
      <c r="G142" s="7">
        <f>INDEX(Ladder!$B$6:$G$21,MATCH($D142,Ladder!$A$6:$A$21,0),IF($B142=2026,2,IF($B142=2027,4,6)))+($C142-1)*16</f>
        <v>78</v>
      </c>
      <c r="H142" s="7" t="str">
        <f t="shared" si="2"/>
        <v>#78</v>
      </c>
      <c r="I142" s="9">
        <f>ROUND(AVERAGEIFS('Pick Values'!$B$2:$B$81,'Pick Values'!$A$2:$A$81,"&gt;="&amp;$F142,'Pick Values'!$A$2:$A$81,"&lt;="&amp;$G142),0)</f>
        <v>0</v>
      </c>
      <c r="J142" s="9">
        <f>IF($B142=2027,ROUND($I142*Ladder!$B$2,0),IF($B142=2028,ROUND($I142*Ladder!$B$3,0),$I142))</f>
        <v>0</v>
      </c>
    </row>
    <row r="143" spans="1:10" x14ac:dyDescent="0.3">
      <c r="A143" s="7">
        <v>141</v>
      </c>
      <c r="B143" s="7">
        <v>2026</v>
      </c>
      <c r="C143" s="7">
        <v>1</v>
      </c>
      <c r="D143" s="8" t="s">
        <v>27</v>
      </c>
      <c r="E143" s="15" t="s">
        <v>26</v>
      </c>
      <c r="F143" s="7">
        <f>INDEX(Ladder!$B$6:$G$21,MATCH($D143,Ladder!$A$6:$A$21,0),IF($B143=2026,1,IF($B143=2027,3,5)))+($C143-1)*16</f>
        <v>16</v>
      </c>
      <c r="G143" s="7">
        <f>INDEX(Ladder!$B$6:$G$21,MATCH($D143,Ladder!$A$6:$A$21,0),IF($B143=2026,2,IF($B143=2027,4,6)))+($C143-1)*16</f>
        <v>16</v>
      </c>
      <c r="H143" s="7" t="str">
        <f t="shared" si="2"/>
        <v>#16</v>
      </c>
      <c r="I143" s="9">
        <f>ROUND(AVERAGEIFS('Pick Values'!$B$2:$B$81,'Pick Values'!$A$2:$A$81,"&gt;="&amp;$F143,'Pick Values'!$A$2:$A$81,"&lt;="&amp;$G143),0)</f>
        <v>814</v>
      </c>
      <c r="J143" s="9">
        <f>IF($B143=2027,ROUND($I143*Ladder!$B$2,0),IF($B143=2028,ROUND($I143*Ladder!$B$3,0),$I143))</f>
        <v>814</v>
      </c>
    </row>
    <row r="144" spans="1:10" x14ac:dyDescent="0.3">
      <c r="A144" s="7">
        <v>142</v>
      </c>
      <c r="B144" s="7">
        <v>2026</v>
      </c>
      <c r="C144" s="7">
        <v>2</v>
      </c>
      <c r="D144" s="8" t="s">
        <v>27</v>
      </c>
      <c r="E144" s="15" t="s">
        <v>16</v>
      </c>
      <c r="F144" s="7">
        <f>INDEX(Ladder!$B$6:$G$21,MATCH($D144,Ladder!$A$6:$A$21,0),IF($B144=2026,1,IF($B144=2027,3,5)))+($C144-1)*16</f>
        <v>32</v>
      </c>
      <c r="G144" s="7">
        <f>INDEX(Ladder!$B$6:$G$21,MATCH($D144,Ladder!$A$6:$A$21,0),IF($B144=2026,2,IF($B144=2027,4,6)))+($C144-1)*16</f>
        <v>32</v>
      </c>
      <c r="H144" s="7" t="str">
        <f t="shared" si="2"/>
        <v>#32</v>
      </c>
      <c r="I144" s="9">
        <f>ROUND(AVERAGEIFS('Pick Values'!$B$2:$B$81,'Pick Values'!$A$2:$A$81,"&gt;="&amp;$F144,'Pick Values'!$A$2:$A$81,"&lt;="&amp;$G144),0)</f>
        <v>571</v>
      </c>
      <c r="J144" s="9">
        <f>IF($B144=2027,ROUND($I144*Ladder!$B$2,0),IF($B144=2028,ROUND($I144*Ladder!$B$3,0),$I144))</f>
        <v>571</v>
      </c>
    </row>
    <row r="145" spans="1:10" x14ac:dyDescent="0.3">
      <c r="A145" s="7">
        <v>143</v>
      </c>
      <c r="B145" s="7">
        <v>2026</v>
      </c>
      <c r="C145" s="7">
        <v>3</v>
      </c>
      <c r="D145" s="8" t="s">
        <v>27</v>
      </c>
      <c r="E145" s="15" t="s">
        <v>25</v>
      </c>
      <c r="F145" s="7">
        <f>INDEX(Ladder!$B$6:$G$21,MATCH($D145,Ladder!$A$6:$A$21,0),IF($B145=2026,1,IF($B145=2027,3,5)))+($C145-1)*16</f>
        <v>48</v>
      </c>
      <c r="G145" s="7">
        <f>INDEX(Ladder!$B$6:$G$21,MATCH($D145,Ladder!$A$6:$A$21,0),IF($B145=2026,2,IF($B145=2027,4,6)))+($C145-1)*16</f>
        <v>48</v>
      </c>
      <c r="H145" s="7" t="str">
        <f t="shared" si="2"/>
        <v>#48</v>
      </c>
      <c r="I145" s="9">
        <f>ROUND(AVERAGEIFS('Pick Values'!$B$2:$B$81,'Pick Values'!$A$2:$A$81,"&gt;="&amp;$F145,'Pick Values'!$A$2:$A$81,"&lt;="&amp;$G145),0)</f>
        <v>300</v>
      </c>
      <c r="J145" s="9">
        <f>IF($B145=2027,ROUND($I145*Ladder!$B$2,0),IF($B145=2028,ROUND($I145*Ladder!$B$3,0),$I145))</f>
        <v>300</v>
      </c>
    </row>
    <row r="146" spans="1:10" x14ac:dyDescent="0.3">
      <c r="A146" s="7">
        <v>144</v>
      </c>
      <c r="B146" s="7">
        <v>2026</v>
      </c>
      <c r="C146" s="7">
        <v>4</v>
      </c>
      <c r="D146" s="8" t="s">
        <v>27</v>
      </c>
      <c r="E146" s="15" t="s">
        <v>18</v>
      </c>
      <c r="F146" s="7">
        <f>INDEX(Ladder!$B$6:$G$21,MATCH($D146,Ladder!$A$6:$A$21,0),IF($B146=2026,1,IF($B146=2027,3,5)))+($C146-1)*16</f>
        <v>64</v>
      </c>
      <c r="G146" s="7">
        <f>INDEX(Ladder!$B$6:$G$21,MATCH($D146,Ladder!$A$6:$A$21,0),IF($B146=2026,2,IF($B146=2027,4,6)))+($C146-1)*16</f>
        <v>64</v>
      </c>
      <c r="H146" s="7" t="str">
        <f t="shared" si="2"/>
        <v>#64</v>
      </c>
      <c r="I146" s="9">
        <f>ROUND(AVERAGEIFS('Pick Values'!$B$2:$B$81,'Pick Values'!$A$2:$A$81,"&gt;="&amp;$F146,'Pick Values'!$A$2:$A$81,"&lt;="&amp;$G146),0)</f>
        <v>178</v>
      </c>
      <c r="J146" s="9">
        <f>IF($B146=2027,ROUND($I146*Ladder!$B$2,0),IF($B146=2028,ROUND($I146*Ladder!$B$3,0),$I146))</f>
        <v>178</v>
      </c>
    </row>
    <row r="147" spans="1:10" x14ac:dyDescent="0.3">
      <c r="A147" s="7">
        <v>145</v>
      </c>
      <c r="B147" s="7">
        <v>2026</v>
      </c>
      <c r="C147" s="7">
        <v>5</v>
      </c>
      <c r="D147" s="8" t="s">
        <v>27</v>
      </c>
      <c r="E147" s="15" t="s">
        <v>27</v>
      </c>
      <c r="F147" s="7">
        <f>INDEX(Ladder!$B$6:$G$21,MATCH($D147,Ladder!$A$6:$A$21,0),IF($B147=2026,1,IF($B147=2027,3,5)))+($C147-1)*16</f>
        <v>80</v>
      </c>
      <c r="G147" s="7">
        <f>INDEX(Ladder!$B$6:$G$21,MATCH($D147,Ladder!$A$6:$A$21,0),IF($B147=2026,2,IF($B147=2027,4,6)))+($C147-1)*16</f>
        <v>80</v>
      </c>
      <c r="H147" s="7" t="str">
        <f t="shared" si="2"/>
        <v>#80</v>
      </c>
      <c r="I147" s="9">
        <f>ROUND(AVERAGEIFS('Pick Values'!$B$2:$B$81,'Pick Values'!$A$2:$A$81,"&gt;="&amp;$F147,'Pick Values'!$A$2:$A$81,"&lt;="&amp;$G147),0)</f>
        <v>0</v>
      </c>
      <c r="J147" s="9">
        <f>IF($B147=2027,ROUND($I147*Ladder!$B$2,0),IF($B147=2028,ROUND($I147*Ladder!$B$3,0),$I147))</f>
        <v>0</v>
      </c>
    </row>
    <row r="148" spans="1:10" x14ac:dyDescent="0.3">
      <c r="A148" s="7">
        <v>146</v>
      </c>
      <c r="B148" s="7">
        <v>2027</v>
      </c>
      <c r="C148" s="7">
        <v>1</v>
      </c>
      <c r="D148" s="8" t="s">
        <v>27</v>
      </c>
      <c r="E148" s="15" t="s">
        <v>13</v>
      </c>
      <c r="F148" s="7">
        <f>INDEX(Ladder!$B$6:$G$21,MATCH($D148,Ladder!$A$6:$A$21,0),IF($B148=2026,1,IF($B148=2027,3,5)))+($C148-1)*16</f>
        <v>16</v>
      </c>
      <c r="G148" s="7">
        <f>INDEX(Ladder!$B$6:$G$21,MATCH($D148,Ladder!$A$6:$A$21,0),IF($B148=2026,2,IF($B148=2027,4,6)))+($C148-1)*16</f>
        <v>16</v>
      </c>
      <c r="H148" s="7" t="str">
        <f t="shared" si="2"/>
        <v>#16</v>
      </c>
      <c r="I148" s="9">
        <f>ROUND(AVERAGEIFS('Pick Values'!$B$2:$B$81,'Pick Values'!$A$2:$A$81,"&gt;="&amp;$F148,'Pick Values'!$A$2:$A$81,"&lt;="&amp;$G148),0)</f>
        <v>814</v>
      </c>
      <c r="J148" s="9">
        <f>IF($B148=2027,ROUND($I148*Ladder!$B$2,0),IF($B148=2028,ROUND($I148*Ladder!$B$3,0),$I148))</f>
        <v>733</v>
      </c>
    </row>
    <row r="149" spans="1:10" x14ac:dyDescent="0.3">
      <c r="A149" s="7">
        <v>147</v>
      </c>
      <c r="B149" s="7">
        <v>2027</v>
      </c>
      <c r="C149" s="7">
        <v>2</v>
      </c>
      <c r="D149" s="8" t="s">
        <v>27</v>
      </c>
      <c r="E149" s="15" t="s">
        <v>16</v>
      </c>
      <c r="F149" s="7">
        <f>INDEX(Ladder!$B$6:$G$21,MATCH($D149,Ladder!$A$6:$A$21,0),IF($B149=2026,1,IF($B149=2027,3,5)))+($C149-1)*16</f>
        <v>32</v>
      </c>
      <c r="G149" s="7">
        <f>INDEX(Ladder!$B$6:$G$21,MATCH($D149,Ladder!$A$6:$A$21,0),IF($B149=2026,2,IF($B149=2027,4,6)))+($C149-1)*16</f>
        <v>32</v>
      </c>
      <c r="H149" s="7" t="str">
        <f t="shared" si="2"/>
        <v>#32</v>
      </c>
      <c r="I149" s="9">
        <f>ROUND(AVERAGEIFS('Pick Values'!$B$2:$B$81,'Pick Values'!$A$2:$A$81,"&gt;="&amp;$F149,'Pick Values'!$A$2:$A$81,"&lt;="&amp;$G149),0)</f>
        <v>571</v>
      </c>
      <c r="J149" s="9">
        <f>IF($B149=2027,ROUND($I149*Ladder!$B$2,0),IF($B149=2028,ROUND($I149*Ladder!$B$3,0),$I149))</f>
        <v>514</v>
      </c>
    </row>
    <row r="150" spans="1:10" x14ac:dyDescent="0.3">
      <c r="A150" s="7">
        <v>148</v>
      </c>
      <c r="B150" s="7">
        <v>2027</v>
      </c>
      <c r="C150" s="7">
        <v>3</v>
      </c>
      <c r="D150" s="8" t="s">
        <v>27</v>
      </c>
      <c r="E150" s="15" t="s">
        <v>26</v>
      </c>
      <c r="F150" s="7">
        <f>INDEX(Ladder!$B$6:$G$21,MATCH($D150,Ladder!$A$6:$A$21,0),IF($B150=2026,1,IF($B150=2027,3,5)))+($C150-1)*16</f>
        <v>48</v>
      </c>
      <c r="G150" s="7">
        <f>INDEX(Ladder!$B$6:$G$21,MATCH($D150,Ladder!$A$6:$A$21,0),IF($B150=2026,2,IF($B150=2027,4,6)))+($C150-1)*16</f>
        <v>48</v>
      </c>
      <c r="H150" s="7" t="str">
        <f t="shared" si="2"/>
        <v>#48</v>
      </c>
      <c r="I150" s="9">
        <f>ROUND(AVERAGEIFS('Pick Values'!$B$2:$B$81,'Pick Values'!$A$2:$A$81,"&gt;="&amp;$F150,'Pick Values'!$A$2:$A$81,"&lt;="&amp;$G150),0)</f>
        <v>300</v>
      </c>
      <c r="J150" s="9">
        <f>IF($B150=2027,ROUND($I150*Ladder!$B$2,0),IF($B150=2028,ROUND($I150*Ladder!$B$3,0),$I150))</f>
        <v>270</v>
      </c>
    </row>
    <row r="151" spans="1:10" x14ac:dyDescent="0.3">
      <c r="A151" s="7">
        <v>149</v>
      </c>
      <c r="B151" s="7">
        <v>2027</v>
      </c>
      <c r="C151" s="7">
        <v>4</v>
      </c>
      <c r="D151" s="8" t="s">
        <v>27</v>
      </c>
      <c r="E151" s="15" t="s">
        <v>13</v>
      </c>
      <c r="F151" s="7">
        <f>INDEX(Ladder!$B$6:$G$21,MATCH($D151,Ladder!$A$6:$A$21,0),IF($B151=2026,1,IF($B151=2027,3,5)))+($C151-1)*16</f>
        <v>64</v>
      </c>
      <c r="G151" s="7">
        <f>INDEX(Ladder!$B$6:$G$21,MATCH($D151,Ladder!$A$6:$A$21,0),IF($B151=2026,2,IF($B151=2027,4,6)))+($C151-1)*16</f>
        <v>64</v>
      </c>
      <c r="H151" s="7" t="str">
        <f t="shared" si="2"/>
        <v>#64</v>
      </c>
      <c r="I151" s="9">
        <f>ROUND(AVERAGEIFS('Pick Values'!$B$2:$B$81,'Pick Values'!$A$2:$A$81,"&gt;="&amp;$F151,'Pick Values'!$A$2:$A$81,"&lt;="&amp;$G151),0)</f>
        <v>178</v>
      </c>
      <c r="J151" s="9">
        <f>IF($B151=2027,ROUND($I151*Ladder!$B$2,0),IF($B151=2028,ROUND($I151*Ladder!$B$3,0),$I151))</f>
        <v>160</v>
      </c>
    </row>
    <row r="152" spans="1:10" x14ac:dyDescent="0.3">
      <c r="A152" s="7">
        <v>150</v>
      </c>
      <c r="B152" s="7">
        <v>2027</v>
      </c>
      <c r="C152" s="7">
        <v>5</v>
      </c>
      <c r="D152" s="8" t="s">
        <v>27</v>
      </c>
      <c r="E152" s="15" t="s">
        <v>27</v>
      </c>
      <c r="F152" s="7">
        <f>INDEX(Ladder!$B$6:$G$21,MATCH($D152,Ladder!$A$6:$A$21,0),IF($B152=2026,1,IF($B152=2027,3,5)))+($C152-1)*16</f>
        <v>80</v>
      </c>
      <c r="G152" s="7">
        <f>INDEX(Ladder!$B$6:$G$21,MATCH($D152,Ladder!$A$6:$A$21,0),IF($B152=2026,2,IF($B152=2027,4,6)))+($C152-1)*16</f>
        <v>80</v>
      </c>
      <c r="H152" s="7" t="str">
        <f t="shared" si="2"/>
        <v>#80</v>
      </c>
      <c r="I152" s="9">
        <f>ROUND(AVERAGEIFS('Pick Values'!$B$2:$B$81,'Pick Values'!$A$2:$A$81,"&gt;="&amp;$F152,'Pick Values'!$A$2:$A$81,"&lt;="&amp;$G152),0)</f>
        <v>0</v>
      </c>
      <c r="J152" s="9">
        <f>IF($B152=2027,ROUND($I152*Ladder!$B$2,0),IF($B152=2028,ROUND($I152*Ladder!$B$3,0),$I152))</f>
        <v>0</v>
      </c>
    </row>
    <row r="153" spans="1:10" x14ac:dyDescent="0.3">
      <c r="A153" s="7">
        <v>151</v>
      </c>
      <c r="B153" s="7">
        <v>2026</v>
      </c>
      <c r="C153" s="7">
        <v>1</v>
      </c>
      <c r="D153" s="8" t="s">
        <v>28</v>
      </c>
      <c r="E153" s="15" t="s">
        <v>20</v>
      </c>
      <c r="F153" s="7">
        <f>INDEX(Ladder!$B$6:$G$21,MATCH($D153,Ladder!$A$6:$A$21,0),IF($B153=2026,1,IF($B153=2027,3,5)))+($C153-1)*16</f>
        <v>5</v>
      </c>
      <c r="G153" s="7">
        <f>INDEX(Ladder!$B$6:$G$21,MATCH($D153,Ladder!$A$6:$A$21,0),IF($B153=2026,2,IF($B153=2027,4,6)))+($C153-1)*16</f>
        <v>5</v>
      </c>
      <c r="H153" s="7" t="str">
        <f t="shared" si="2"/>
        <v>#5</v>
      </c>
      <c r="I153" s="9">
        <f>ROUND(AVERAGEIFS('Pick Values'!$B$2:$B$81,'Pick Values'!$A$2:$A$81,"&gt;="&amp;$F153,'Pick Values'!$A$2:$A$81,"&lt;="&amp;$G153),0)</f>
        <v>1792</v>
      </c>
      <c r="J153" s="9">
        <f>IF($B153=2027,ROUND($I153*Ladder!$B$2,0),IF($B153=2028,ROUND($I153*Ladder!$B$3,0),$I153))</f>
        <v>1792</v>
      </c>
    </row>
    <row r="154" spans="1:10" x14ac:dyDescent="0.3">
      <c r="A154" s="7">
        <v>152</v>
      </c>
      <c r="B154" s="7">
        <v>2026</v>
      </c>
      <c r="C154" s="7">
        <v>2</v>
      </c>
      <c r="D154" s="8" t="s">
        <v>28</v>
      </c>
      <c r="E154" s="15" t="s">
        <v>21</v>
      </c>
      <c r="F154" s="7">
        <f>INDEX(Ladder!$B$6:$G$21,MATCH($D154,Ladder!$A$6:$A$21,0),IF($B154=2026,1,IF($B154=2027,3,5)))+($C154-1)*16</f>
        <v>21</v>
      </c>
      <c r="G154" s="7">
        <f>INDEX(Ladder!$B$6:$G$21,MATCH($D154,Ladder!$A$6:$A$21,0),IF($B154=2026,2,IF($B154=2027,4,6)))+($C154-1)*16</f>
        <v>21</v>
      </c>
      <c r="H154" s="7" t="str">
        <f t="shared" si="2"/>
        <v>#21</v>
      </c>
      <c r="I154" s="9">
        <f>ROUND(AVERAGEIFS('Pick Values'!$B$2:$B$81,'Pick Values'!$A$2:$A$81,"&gt;="&amp;$F154,'Pick Values'!$A$2:$A$81,"&lt;="&amp;$G154),0)</f>
        <v>805</v>
      </c>
      <c r="J154" s="9">
        <f>IF($B154=2027,ROUND($I154*Ladder!$B$2,0),IF($B154=2028,ROUND($I154*Ladder!$B$3,0),$I154))</f>
        <v>805</v>
      </c>
    </row>
    <row r="155" spans="1:10" x14ac:dyDescent="0.3">
      <c r="A155" s="7">
        <v>153</v>
      </c>
      <c r="B155" s="7">
        <v>2026</v>
      </c>
      <c r="C155" s="7">
        <v>3</v>
      </c>
      <c r="D155" s="8" t="s">
        <v>28</v>
      </c>
      <c r="E155" s="15" t="s">
        <v>18</v>
      </c>
      <c r="F155" s="7">
        <f>INDEX(Ladder!$B$6:$G$21,MATCH($D155,Ladder!$A$6:$A$21,0),IF($B155=2026,1,IF($B155=2027,3,5)))+($C155-1)*16</f>
        <v>37</v>
      </c>
      <c r="G155" s="7">
        <f>INDEX(Ladder!$B$6:$G$21,MATCH($D155,Ladder!$A$6:$A$21,0),IF($B155=2026,2,IF($B155=2027,4,6)))+($C155-1)*16</f>
        <v>37</v>
      </c>
      <c r="H155" s="7" t="str">
        <f t="shared" si="2"/>
        <v>#37</v>
      </c>
      <c r="I155" s="9">
        <f>ROUND(AVERAGEIFS('Pick Values'!$B$2:$B$81,'Pick Values'!$A$2:$A$81,"&gt;="&amp;$F155,'Pick Values'!$A$2:$A$81,"&lt;="&amp;$G155),0)</f>
        <v>514</v>
      </c>
      <c r="J155" s="9">
        <f>IF($B155=2027,ROUND($I155*Ladder!$B$2,0),IF($B155=2028,ROUND($I155*Ladder!$B$3,0),$I155))</f>
        <v>514</v>
      </c>
    </row>
    <row r="156" spans="1:10" x14ac:dyDescent="0.3">
      <c r="A156" s="7">
        <v>154</v>
      </c>
      <c r="B156" s="7">
        <v>2026</v>
      </c>
      <c r="C156" s="7">
        <v>4</v>
      </c>
      <c r="D156" s="8" t="s">
        <v>28</v>
      </c>
      <c r="E156" s="15" t="s">
        <v>13</v>
      </c>
      <c r="F156" s="7">
        <f>INDEX(Ladder!$B$6:$G$21,MATCH($D156,Ladder!$A$6:$A$21,0),IF($B156=2026,1,IF($B156=2027,3,5)))+($C156-1)*16</f>
        <v>53</v>
      </c>
      <c r="G156" s="7">
        <f>INDEX(Ladder!$B$6:$G$21,MATCH($D156,Ladder!$A$6:$A$21,0),IF($B156=2026,2,IF($B156=2027,4,6)))+($C156-1)*16</f>
        <v>53</v>
      </c>
      <c r="H156" s="7" t="str">
        <f t="shared" si="2"/>
        <v>#53</v>
      </c>
      <c r="I156" s="9">
        <f>ROUND(AVERAGEIFS('Pick Values'!$B$2:$B$81,'Pick Values'!$A$2:$A$81,"&gt;="&amp;$F156,'Pick Values'!$A$2:$A$81,"&lt;="&amp;$G156),0)</f>
        <v>248</v>
      </c>
      <c r="J156" s="9">
        <f>IF($B156=2027,ROUND($I156*Ladder!$B$2,0),IF($B156=2028,ROUND($I156*Ladder!$B$3,0),$I156))</f>
        <v>248</v>
      </c>
    </row>
    <row r="157" spans="1:10" x14ac:dyDescent="0.3">
      <c r="A157" s="7">
        <v>155</v>
      </c>
      <c r="B157" s="7">
        <v>2026</v>
      </c>
      <c r="C157" s="7">
        <v>5</v>
      </c>
      <c r="D157" s="8" t="s">
        <v>28</v>
      </c>
      <c r="E157" s="15" t="s">
        <v>28</v>
      </c>
      <c r="F157" s="7">
        <f>INDEX(Ladder!$B$6:$G$21,MATCH($D157,Ladder!$A$6:$A$21,0),IF($B157=2026,1,IF($B157=2027,3,5)))+($C157-1)*16</f>
        <v>69</v>
      </c>
      <c r="G157" s="7">
        <f>INDEX(Ladder!$B$6:$G$21,MATCH($D157,Ladder!$A$6:$A$21,0),IF($B157=2026,2,IF($B157=2027,4,6)))+($C157-1)*16</f>
        <v>69</v>
      </c>
      <c r="H157" s="7" t="str">
        <f t="shared" si="2"/>
        <v>#69</v>
      </c>
      <c r="I157" s="9">
        <f>ROUND(AVERAGEIFS('Pick Values'!$B$2:$B$81,'Pick Values'!$A$2:$A$81,"&gt;="&amp;$F157,'Pick Values'!$A$2:$A$81,"&lt;="&amp;$G157),0)</f>
        <v>0</v>
      </c>
      <c r="J157" s="9">
        <f>IF($B157=2027,ROUND($I157*Ladder!$B$2,0),IF($B157=2028,ROUND($I157*Ladder!$B$3,0),$I157))</f>
        <v>0</v>
      </c>
    </row>
    <row r="158" spans="1:10" x14ac:dyDescent="0.3">
      <c r="A158" s="7">
        <v>156</v>
      </c>
      <c r="B158" s="7">
        <v>2027</v>
      </c>
      <c r="C158" s="7">
        <v>1</v>
      </c>
      <c r="D158" s="8" t="s">
        <v>28</v>
      </c>
      <c r="E158" s="15" t="s">
        <v>13</v>
      </c>
      <c r="F158" s="7">
        <f>INDEX(Ladder!$B$6:$G$21,MATCH($D158,Ladder!$A$6:$A$21,0),IF($B158=2026,1,IF($B158=2027,3,5)))+($C158-1)*16</f>
        <v>5</v>
      </c>
      <c r="G158" s="7">
        <f>INDEX(Ladder!$B$6:$G$21,MATCH($D158,Ladder!$A$6:$A$21,0),IF($B158=2026,2,IF($B158=2027,4,6)))+($C158-1)*16</f>
        <v>5</v>
      </c>
      <c r="H158" s="7" t="str">
        <f t="shared" si="2"/>
        <v>#5</v>
      </c>
      <c r="I158" s="9">
        <f>ROUND(AVERAGEIFS('Pick Values'!$B$2:$B$81,'Pick Values'!$A$2:$A$81,"&gt;="&amp;$F158,'Pick Values'!$A$2:$A$81,"&lt;="&amp;$G158),0)</f>
        <v>1792</v>
      </c>
      <c r="J158" s="9">
        <f>IF($B158=2027,ROUND($I158*Ladder!$B$2,0),IF($B158=2028,ROUND($I158*Ladder!$B$3,0),$I158))</f>
        <v>1613</v>
      </c>
    </row>
    <row r="159" spans="1:10" x14ac:dyDescent="0.3">
      <c r="A159" s="7">
        <v>157</v>
      </c>
      <c r="B159" s="7">
        <v>2027</v>
      </c>
      <c r="C159" s="7">
        <v>2</v>
      </c>
      <c r="D159" s="8" t="s">
        <v>28</v>
      </c>
      <c r="E159" s="15" t="s">
        <v>20</v>
      </c>
      <c r="F159" s="7">
        <f>INDEX(Ladder!$B$6:$G$21,MATCH($D159,Ladder!$A$6:$A$21,0),IF($B159=2026,1,IF($B159=2027,3,5)))+($C159-1)*16</f>
        <v>21</v>
      </c>
      <c r="G159" s="7">
        <f>INDEX(Ladder!$B$6:$G$21,MATCH($D159,Ladder!$A$6:$A$21,0),IF($B159=2026,2,IF($B159=2027,4,6)))+($C159-1)*16</f>
        <v>21</v>
      </c>
      <c r="H159" s="7" t="str">
        <f t="shared" si="2"/>
        <v>#21</v>
      </c>
      <c r="I159" s="9">
        <f>ROUND(AVERAGEIFS('Pick Values'!$B$2:$B$81,'Pick Values'!$A$2:$A$81,"&gt;="&amp;$F159,'Pick Values'!$A$2:$A$81,"&lt;="&amp;$G159),0)</f>
        <v>805</v>
      </c>
      <c r="J159" s="9">
        <f>IF($B159=2027,ROUND($I159*Ladder!$B$2,0),IF($B159=2028,ROUND($I159*Ladder!$B$3,0),$I159))</f>
        <v>725</v>
      </c>
    </row>
    <row r="160" spans="1:10" x14ac:dyDescent="0.3">
      <c r="A160" s="7">
        <v>158</v>
      </c>
      <c r="B160" s="7">
        <v>2027</v>
      </c>
      <c r="C160" s="7">
        <v>3</v>
      </c>
      <c r="D160" s="8" t="s">
        <v>28</v>
      </c>
      <c r="E160" s="15" t="s">
        <v>16</v>
      </c>
      <c r="F160" s="7">
        <f>INDEX(Ladder!$B$6:$G$21,MATCH($D160,Ladder!$A$6:$A$21,0),IF($B160=2026,1,IF($B160=2027,3,5)))+($C160-1)*16</f>
        <v>37</v>
      </c>
      <c r="G160" s="7">
        <f>INDEX(Ladder!$B$6:$G$21,MATCH($D160,Ladder!$A$6:$A$21,0),IF($B160=2026,2,IF($B160=2027,4,6)))+($C160-1)*16</f>
        <v>37</v>
      </c>
      <c r="H160" s="7" t="str">
        <f t="shared" si="2"/>
        <v>#37</v>
      </c>
      <c r="I160" s="9">
        <f>ROUND(AVERAGEIFS('Pick Values'!$B$2:$B$81,'Pick Values'!$A$2:$A$81,"&gt;="&amp;$F160,'Pick Values'!$A$2:$A$81,"&lt;="&amp;$G160),0)</f>
        <v>514</v>
      </c>
      <c r="J160" s="9">
        <f>IF($B160=2027,ROUND($I160*Ladder!$B$2,0),IF($B160=2028,ROUND($I160*Ladder!$B$3,0),$I160))</f>
        <v>463</v>
      </c>
    </row>
    <row r="161" spans="1:10" x14ac:dyDescent="0.3">
      <c r="A161" s="7">
        <v>159</v>
      </c>
      <c r="B161" s="7">
        <v>2027</v>
      </c>
      <c r="C161" s="7">
        <v>4</v>
      </c>
      <c r="D161" s="8" t="s">
        <v>28</v>
      </c>
      <c r="E161" s="15" t="s">
        <v>28</v>
      </c>
      <c r="F161" s="7">
        <f>INDEX(Ladder!$B$6:$G$21,MATCH($D161,Ladder!$A$6:$A$21,0),IF($B161=2026,1,IF($B161=2027,3,5)))+($C161-1)*16</f>
        <v>53</v>
      </c>
      <c r="G161" s="7">
        <f>INDEX(Ladder!$B$6:$G$21,MATCH($D161,Ladder!$A$6:$A$21,0),IF($B161=2026,2,IF($B161=2027,4,6)))+($C161-1)*16</f>
        <v>53</v>
      </c>
      <c r="H161" s="7" t="str">
        <f t="shared" si="2"/>
        <v>#53</v>
      </c>
      <c r="I161" s="9">
        <f>ROUND(AVERAGEIFS('Pick Values'!$B$2:$B$81,'Pick Values'!$A$2:$A$81,"&gt;="&amp;$F161,'Pick Values'!$A$2:$A$81,"&lt;="&amp;$G161),0)</f>
        <v>248</v>
      </c>
      <c r="J161" s="9">
        <f>IF($B161=2027,ROUND($I161*Ladder!$B$2,0),IF($B161=2028,ROUND($I161*Ladder!$B$3,0),$I161))</f>
        <v>223</v>
      </c>
    </row>
    <row r="162" spans="1:10" x14ac:dyDescent="0.3">
      <c r="A162" s="7">
        <v>160</v>
      </c>
      <c r="B162" s="7">
        <v>2027</v>
      </c>
      <c r="C162" s="7">
        <v>5</v>
      </c>
      <c r="D162" s="8" t="s">
        <v>28</v>
      </c>
      <c r="E162" s="15" t="s">
        <v>28</v>
      </c>
      <c r="F162" s="7">
        <f>INDEX(Ladder!$B$6:$G$21,MATCH($D162,Ladder!$A$6:$A$21,0),IF($B162=2026,1,IF($B162=2027,3,5)))+($C162-1)*16</f>
        <v>69</v>
      </c>
      <c r="G162" s="7">
        <f>INDEX(Ladder!$B$6:$G$21,MATCH($D162,Ladder!$A$6:$A$21,0),IF($B162=2026,2,IF($B162=2027,4,6)))+($C162-1)*16</f>
        <v>69</v>
      </c>
      <c r="H162" s="7" t="str">
        <f t="shared" si="2"/>
        <v>#69</v>
      </c>
      <c r="I162" s="9">
        <f>ROUND(AVERAGEIFS('Pick Values'!$B$2:$B$81,'Pick Values'!$A$2:$A$81,"&gt;="&amp;$F162,'Pick Values'!$A$2:$A$81,"&lt;="&amp;$G162),0)</f>
        <v>0</v>
      </c>
      <c r="J162" s="9">
        <f>IF($B162=2027,ROUND($I162*Ladder!$B$2,0),IF($B162=2028,ROUND($I162*Ladder!$B$3,0),$I162))</f>
        <v>0</v>
      </c>
    </row>
    <row r="163" spans="1:10" x14ac:dyDescent="0.3">
      <c r="A163" s="7">
        <v>161</v>
      </c>
      <c r="B163" s="7">
        <v>2028</v>
      </c>
      <c r="C163" s="7">
        <v>1</v>
      </c>
      <c r="D163" s="8" t="s">
        <v>13</v>
      </c>
      <c r="E163" s="15" t="s">
        <v>13</v>
      </c>
      <c r="F163" s="7">
        <f>INDEX(Ladder!$B$6:$G$21,MATCH($D163,Ladder!$A$6:$A$21,0),IF($B163=2026,1,IF($B163=2027,3,5)))+($C163-1)*16</f>
        <v>10</v>
      </c>
      <c r="G163" s="7">
        <f>INDEX(Ladder!$B$6:$G$21,MATCH($D163,Ladder!$A$6:$A$21,0),IF($B163=2026,2,IF($B163=2027,4,6)))+($C163-1)*16</f>
        <v>10</v>
      </c>
      <c r="H163" s="7" t="str">
        <f t="shared" si="2"/>
        <v>#10</v>
      </c>
      <c r="I163" s="9">
        <f>ROUND(AVERAGEIFS('Pick Values'!$B$2:$B$81,'Pick Values'!$A$2:$A$81,"&gt;="&amp;$F163,'Pick Values'!$A$2:$A$81,"&lt;="&amp;$G163),0)</f>
        <v>1300</v>
      </c>
      <c r="J163" s="9">
        <f>IF($B163=2027,ROUND($I163*Ladder!$B$2,0),IF($B163=2028,ROUND($I163*Ladder!$B$3,0),$I163))</f>
        <v>1040</v>
      </c>
    </row>
    <row r="164" spans="1:10" x14ac:dyDescent="0.3">
      <c r="A164" s="7">
        <v>162</v>
      </c>
      <c r="B164" s="7">
        <v>2028</v>
      </c>
      <c r="C164" s="7">
        <v>2</v>
      </c>
      <c r="D164" s="8" t="s">
        <v>13</v>
      </c>
      <c r="E164" s="15" t="s">
        <v>13</v>
      </c>
      <c r="F164" s="7">
        <f>INDEX(Ladder!$B$6:$G$21,MATCH($D164,Ladder!$A$6:$A$21,0),IF($B164=2026,1,IF($B164=2027,3,5)))+($C164-1)*16</f>
        <v>26</v>
      </c>
      <c r="G164" s="7">
        <f>INDEX(Ladder!$B$6:$G$21,MATCH($D164,Ladder!$A$6:$A$21,0),IF($B164=2026,2,IF($B164=2027,4,6)))+($C164-1)*16</f>
        <v>26</v>
      </c>
      <c r="H164" s="7" t="str">
        <f t="shared" si="2"/>
        <v>#26</v>
      </c>
      <c r="I164" s="9">
        <f>ROUND(AVERAGEIFS('Pick Values'!$B$2:$B$81,'Pick Values'!$A$2:$A$81,"&gt;="&amp;$F164,'Pick Values'!$A$2:$A$81,"&lt;="&amp;$G164),0)</f>
        <v>656</v>
      </c>
      <c r="J164" s="9">
        <f>IF($B164=2027,ROUND($I164*Ladder!$B$2,0),IF($B164=2028,ROUND($I164*Ladder!$B$3,0),$I164))</f>
        <v>525</v>
      </c>
    </row>
    <row r="165" spans="1:10" x14ac:dyDescent="0.3">
      <c r="A165" s="7">
        <v>163</v>
      </c>
      <c r="B165" s="7">
        <v>2028</v>
      </c>
      <c r="C165" s="7">
        <v>3</v>
      </c>
      <c r="D165" s="8" t="s">
        <v>13</v>
      </c>
      <c r="E165" s="15" t="s">
        <v>13</v>
      </c>
      <c r="F165" s="7">
        <f>INDEX(Ladder!$B$6:$G$21,MATCH($D165,Ladder!$A$6:$A$21,0),IF($B165=2026,1,IF($B165=2027,3,5)))+($C165-1)*16</f>
        <v>42</v>
      </c>
      <c r="G165" s="7">
        <f>INDEX(Ladder!$B$6:$G$21,MATCH($D165,Ladder!$A$6:$A$21,0),IF($B165=2026,2,IF($B165=2027,4,6)))+($C165-1)*16</f>
        <v>42</v>
      </c>
      <c r="H165" s="7" t="str">
        <f t="shared" si="2"/>
        <v>#42</v>
      </c>
      <c r="I165" s="9">
        <f>ROUND(AVERAGEIFS('Pick Values'!$B$2:$B$81,'Pick Values'!$A$2:$A$81,"&gt;="&amp;$F165,'Pick Values'!$A$2:$A$81,"&lt;="&amp;$G165),0)</f>
        <v>432</v>
      </c>
      <c r="J165" s="9">
        <f>IF($B165=2027,ROUND($I165*Ladder!$B$2,0),IF($B165=2028,ROUND($I165*Ladder!$B$3,0),$I165))</f>
        <v>346</v>
      </c>
    </row>
    <row r="166" spans="1:10" x14ac:dyDescent="0.3">
      <c r="A166" s="7">
        <v>164</v>
      </c>
      <c r="B166" s="7">
        <v>2028</v>
      </c>
      <c r="C166" s="7">
        <v>4</v>
      </c>
      <c r="D166" s="8" t="s">
        <v>13</v>
      </c>
      <c r="E166" s="15" t="s">
        <v>13</v>
      </c>
      <c r="F166" s="7">
        <f>INDEX(Ladder!$B$6:$G$21,MATCH($D166,Ladder!$A$6:$A$21,0),IF($B166=2026,1,IF($B166=2027,3,5)))+($C166-1)*16</f>
        <v>58</v>
      </c>
      <c r="G166" s="7">
        <f>INDEX(Ladder!$B$6:$G$21,MATCH($D166,Ladder!$A$6:$A$21,0),IF($B166=2026,2,IF($B166=2027,4,6)))+($C166-1)*16</f>
        <v>58</v>
      </c>
      <c r="H166" s="7" t="str">
        <f t="shared" si="2"/>
        <v>#58</v>
      </c>
      <c r="I166" s="9">
        <f>ROUND(AVERAGEIFS('Pick Values'!$B$2:$B$81,'Pick Values'!$A$2:$A$81,"&gt;="&amp;$F166,'Pick Values'!$A$2:$A$81,"&lt;="&amp;$G166),0)</f>
        <v>204</v>
      </c>
      <c r="J166" s="9">
        <f>IF($B166=2027,ROUND($I166*Ladder!$B$2,0),IF($B166=2028,ROUND($I166*Ladder!$B$3,0),$I166))</f>
        <v>163</v>
      </c>
    </row>
    <row r="167" spans="1:10" x14ac:dyDescent="0.3">
      <c r="A167" s="7">
        <v>165</v>
      </c>
      <c r="B167" s="7">
        <v>2028</v>
      </c>
      <c r="C167" s="7">
        <v>5</v>
      </c>
      <c r="D167" s="8" t="s">
        <v>13</v>
      </c>
      <c r="E167" s="15" t="s">
        <v>13</v>
      </c>
      <c r="F167" s="7">
        <f>INDEX(Ladder!$B$6:$G$21,MATCH($D167,Ladder!$A$6:$A$21,0),IF($B167=2026,1,IF($B167=2027,3,5)))+($C167-1)*16</f>
        <v>74</v>
      </c>
      <c r="G167" s="7">
        <f>INDEX(Ladder!$B$6:$G$21,MATCH($D167,Ladder!$A$6:$A$21,0),IF($B167=2026,2,IF($B167=2027,4,6)))+($C167-1)*16</f>
        <v>74</v>
      </c>
      <c r="H167" s="7" t="str">
        <f t="shared" si="2"/>
        <v>#74</v>
      </c>
      <c r="I167" s="9">
        <f>ROUND(AVERAGEIFS('Pick Values'!$B$2:$B$81,'Pick Values'!$A$2:$A$81,"&gt;="&amp;$F167,'Pick Values'!$A$2:$A$81,"&lt;="&amp;$G167),0)</f>
        <v>0</v>
      </c>
      <c r="J167" s="9">
        <f>IF($B167=2027,ROUND($I167*Ladder!$B$2,0),IF($B167=2028,ROUND($I167*Ladder!$B$3,0),$I167))</f>
        <v>0</v>
      </c>
    </row>
    <row r="168" spans="1:10" x14ac:dyDescent="0.3">
      <c r="A168" s="7">
        <v>166</v>
      </c>
      <c r="B168" s="7">
        <v>2028</v>
      </c>
      <c r="C168" s="7">
        <v>1</v>
      </c>
      <c r="D168" s="8" t="s">
        <v>14</v>
      </c>
      <c r="E168" s="15" t="s">
        <v>14</v>
      </c>
      <c r="F168" s="7">
        <f>INDEX(Ladder!$B$6:$G$21,MATCH($D168,Ladder!$A$6:$A$21,0),IF($B168=2026,1,IF($B168=2027,3,5)))+($C168-1)*16</f>
        <v>9</v>
      </c>
      <c r="G168" s="7">
        <f>INDEX(Ladder!$B$6:$G$21,MATCH($D168,Ladder!$A$6:$A$21,0),IF($B168=2026,2,IF($B168=2027,4,6)))+($C168-1)*16</f>
        <v>9</v>
      </c>
      <c r="H168" s="7" t="str">
        <f t="shared" si="2"/>
        <v>#9</v>
      </c>
      <c r="I168" s="9">
        <f>ROUND(AVERAGEIFS('Pick Values'!$B$2:$B$81,'Pick Values'!$A$2:$A$81,"&gt;="&amp;$F168,'Pick Values'!$A$2:$A$81,"&lt;="&amp;$G168),0)</f>
        <v>1322</v>
      </c>
      <c r="J168" s="9">
        <f>IF($B168=2027,ROUND($I168*Ladder!$B$2,0),IF($B168=2028,ROUND($I168*Ladder!$B$3,0),$I168))</f>
        <v>1058</v>
      </c>
    </row>
    <row r="169" spans="1:10" x14ac:dyDescent="0.3">
      <c r="A169" s="7">
        <v>167</v>
      </c>
      <c r="B169" s="7">
        <v>2028</v>
      </c>
      <c r="C169" s="7">
        <v>2</v>
      </c>
      <c r="D169" s="8" t="s">
        <v>14</v>
      </c>
      <c r="E169" s="15" t="s">
        <v>14</v>
      </c>
      <c r="F169" s="7">
        <f>INDEX(Ladder!$B$6:$G$21,MATCH($D169,Ladder!$A$6:$A$21,0),IF($B169=2026,1,IF($B169=2027,3,5)))+($C169-1)*16</f>
        <v>25</v>
      </c>
      <c r="G169" s="7">
        <f>INDEX(Ladder!$B$6:$G$21,MATCH($D169,Ladder!$A$6:$A$21,0),IF($B169=2026,2,IF($B169=2027,4,6)))+($C169-1)*16</f>
        <v>25</v>
      </c>
      <c r="H169" s="7" t="str">
        <f t="shared" si="2"/>
        <v>#25</v>
      </c>
      <c r="I169" s="9">
        <f>ROUND(AVERAGEIFS('Pick Values'!$B$2:$B$81,'Pick Values'!$A$2:$A$81,"&gt;="&amp;$F169,'Pick Values'!$A$2:$A$81,"&lt;="&amp;$G169),0)</f>
        <v>675</v>
      </c>
      <c r="J169" s="9">
        <f>IF($B169=2027,ROUND($I169*Ladder!$B$2,0),IF($B169=2028,ROUND($I169*Ladder!$B$3,0),$I169))</f>
        <v>540</v>
      </c>
    </row>
    <row r="170" spans="1:10" x14ac:dyDescent="0.3">
      <c r="A170" s="7">
        <v>168</v>
      </c>
      <c r="B170" s="7">
        <v>2028</v>
      </c>
      <c r="C170" s="7">
        <v>3</v>
      </c>
      <c r="D170" s="8" t="s">
        <v>14</v>
      </c>
      <c r="E170" s="15" t="s">
        <v>14</v>
      </c>
      <c r="F170" s="7">
        <f>INDEX(Ladder!$B$6:$G$21,MATCH($D170,Ladder!$A$6:$A$21,0),IF($B170=2026,1,IF($B170=2027,3,5)))+($C170-1)*16</f>
        <v>41</v>
      </c>
      <c r="G170" s="7">
        <f>INDEX(Ladder!$B$6:$G$21,MATCH($D170,Ladder!$A$6:$A$21,0),IF($B170=2026,2,IF($B170=2027,4,6)))+($C170-1)*16</f>
        <v>41</v>
      </c>
      <c r="H170" s="7" t="str">
        <f t="shared" si="2"/>
        <v>#41</v>
      </c>
      <c r="I170" s="9">
        <f>ROUND(AVERAGEIFS('Pick Values'!$B$2:$B$81,'Pick Values'!$A$2:$A$81,"&gt;="&amp;$F170,'Pick Values'!$A$2:$A$81,"&lt;="&amp;$G170),0)</f>
        <v>453</v>
      </c>
      <c r="J170" s="9">
        <f>IF($B170=2027,ROUND($I170*Ladder!$B$2,0),IF($B170=2028,ROUND($I170*Ladder!$B$3,0),$I170))</f>
        <v>362</v>
      </c>
    </row>
    <row r="171" spans="1:10" x14ac:dyDescent="0.3">
      <c r="A171" s="7">
        <v>169</v>
      </c>
      <c r="B171" s="7">
        <v>2028</v>
      </c>
      <c r="C171" s="7">
        <v>4</v>
      </c>
      <c r="D171" s="8" t="s">
        <v>14</v>
      </c>
      <c r="E171" s="15" t="s">
        <v>14</v>
      </c>
      <c r="F171" s="7">
        <f>INDEX(Ladder!$B$6:$G$21,MATCH($D171,Ladder!$A$6:$A$21,0),IF($B171=2026,1,IF($B171=2027,3,5)))+($C171-1)*16</f>
        <v>57</v>
      </c>
      <c r="G171" s="7">
        <f>INDEX(Ladder!$B$6:$G$21,MATCH($D171,Ladder!$A$6:$A$21,0),IF($B171=2026,2,IF($B171=2027,4,6)))+($C171-1)*16</f>
        <v>57</v>
      </c>
      <c r="H171" s="7" t="str">
        <f t="shared" si="2"/>
        <v>#57</v>
      </c>
      <c r="I171" s="9">
        <f>ROUND(AVERAGEIFS('Pick Values'!$B$2:$B$81,'Pick Values'!$A$2:$A$81,"&gt;="&amp;$F171,'Pick Values'!$A$2:$A$81,"&lt;="&amp;$G171),0)</f>
        <v>213</v>
      </c>
      <c r="J171" s="9">
        <f>IF($B171=2027,ROUND($I171*Ladder!$B$2,0),IF($B171=2028,ROUND($I171*Ladder!$B$3,0),$I171))</f>
        <v>170</v>
      </c>
    </row>
    <row r="172" spans="1:10" x14ac:dyDescent="0.3">
      <c r="A172" s="7">
        <v>170</v>
      </c>
      <c r="B172" s="7">
        <v>2028</v>
      </c>
      <c r="C172" s="7">
        <v>5</v>
      </c>
      <c r="D172" s="8" t="s">
        <v>14</v>
      </c>
      <c r="E172" s="15" t="s">
        <v>14</v>
      </c>
      <c r="F172" s="7">
        <f>INDEX(Ladder!$B$6:$G$21,MATCH($D172,Ladder!$A$6:$A$21,0),IF($B172=2026,1,IF($B172=2027,3,5)))+($C172-1)*16</f>
        <v>73</v>
      </c>
      <c r="G172" s="7">
        <f>INDEX(Ladder!$B$6:$G$21,MATCH($D172,Ladder!$A$6:$A$21,0),IF($B172=2026,2,IF($B172=2027,4,6)))+($C172-1)*16</f>
        <v>73</v>
      </c>
      <c r="H172" s="7" t="str">
        <f t="shared" si="2"/>
        <v>#73</v>
      </c>
      <c r="I172" s="9">
        <f>ROUND(AVERAGEIFS('Pick Values'!$B$2:$B$81,'Pick Values'!$A$2:$A$81,"&gt;="&amp;$F172,'Pick Values'!$A$2:$A$81,"&lt;="&amp;$G172),0)</f>
        <v>0</v>
      </c>
      <c r="J172" s="9">
        <f>IF($B172=2027,ROUND($I172*Ladder!$B$2,0),IF($B172=2028,ROUND($I172*Ladder!$B$3,0),$I172))</f>
        <v>0</v>
      </c>
    </row>
    <row r="173" spans="1:10" x14ac:dyDescent="0.3">
      <c r="A173" s="7">
        <v>171</v>
      </c>
      <c r="B173" s="7">
        <v>2028</v>
      </c>
      <c r="C173" s="7">
        <v>1</v>
      </c>
      <c r="D173" s="8" t="s">
        <v>15</v>
      </c>
      <c r="E173" s="15" t="s">
        <v>15</v>
      </c>
      <c r="F173" s="7">
        <f>INDEX(Ladder!$B$6:$G$21,MATCH($D173,Ladder!$A$6:$A$21,0),IF($B173=2026,1,IF($B173=2027,3,5)))+($C173-1)*16</f>
        <v>8</v>
      </c>
      <c r="G173" s="7">
        <f>INDEX(Ladder!$B$6:$G$21,MATCH($D173,Ladder!$A$6:$A$21,0),IF($B173=2026,2,IF($B173=2027,4,6)))+($C173-1)*16</f>
        <v>8</v>
      </c>
      <c r="H173" s="7" t="str">
        <f t="shared" si="2"/>
        <v>#8</v>
      </c>
      <c r="I173" s="9">
        <f>ROUND(AVERAGEIFS('Pick Values'!$B$2:$B$81,'Pick Values'!$A$2:$A$81,"&gt;="&amp;$F173,'Pick Values'!$A$2:$A$81,"&lt;="&amp;$G173),0)</f>
        <v>1343</v>
      </c>
      <c r="J173" s="9">
        <f>IF($B173=2027,ROUND($I173*Ladder!$B$2,0),IF($B173=2028,ROUND($I173*Ladder!$B$3,0),$I173))</f>
        <v>1074</v>
      </c>
    </row>
    <row r="174" spans="1:10" x14ac:dyDescent="0.3">
      <c r="A174" s="7">
        <v>172</v>
      </c>
      <c r="B174" s="7">
        <v>2028</v>
      </c>
      <c r="C174" s="7">
        <v>2</v>
      </c>
      <c r="D174" s="8" t="s">
        <v>15</v>
      </c>
      <c r="E174" s="15" t="s">
        <v>15</v>
      </c>
      <c r="F174" s="7">
        <f>INDEX(Ladder!$B$6:$G$21,MATCH($D174,Ladder!$A$6:$A$21,0),IF($B174=2026,1,IF($B174=2027,3,5)))+($C174-1)*16</f>
        <v>24</v>
      </c>
      <c r="G174" s="7">
        <f>INDEX(Ladder!$B$6:$G$21,MATCH($D174,Ladder!$A$6:$A$21,0),IF($B174=2026,2,IF($B174=2027,4,6)))+($C174-1)*16</f>
        <v>24</v>
      </c>
      <c r="H174" s="7" t="str">
        <f t="shared" si="2"/>
        <v>#24</v>
      </c>
      <c r="I174" s="9">
        <f>ROUND(AVERAGEIFS('Pick Values'!$B$2:$B$81,'Pick Values'!$A$2:$A$81,"&gt;="&amp;$F174,'Pick Values'!$A$2:$A$81,"&lt;="&amp;$G174),0)</f>
        <v>702</v>
      </c>
      <c r="J174" s="9">
        <f>IF($B174=2027,ROUND($I174*Ladder!$B$2,0),IF($B174=2028,ROUND($I174*Ladder!$B$3,0),$I174))</f>
        <v>562</v>
      </c>
    </row>
    <row r="175" spans="1:10" x14ac:dyDescent="0.3">
      <c r="A175" s="7">
        <v>173</v>
      </c>
      <c r="B175" s="7">
        <v>2028</v>
      </c>
      <c r="C175" s="7">
        <v>3</v>
      </c>
      <c r="D175" s="8" t="s">
        <v>15</v>
      </c>
      <c r="E175" s="15" t="s">
        <v>15</v>
      </c>
      <c r="F175" s="7">
        <f>INDEX(Ladder!$B$6:$G$21,MATCH($D175,Ladder!$A$6:$A$21,0),IF($B175=2026,1,IF($B175=2027,3,5)))+($C175-1)*16</f>
        <v>40</v>
      </c>
      <c r="G175" s="7">
        <f>INDEX(Ladder!$B$6:$G$21,MATCH($D175,Ladder!$A$6:$A$21,0),IF($B175=2026,2,IF($B175=2027,4,6)))+($C175-1)*16</f>
        <v>40</v>
      </c>
      <c r="H175" s="7" t="str">
        <f t="shared" si="2"/>
        <v>#40</v>
      </c>
      <c r="I175" s="9">
        <f>ROUND(AVERAGEIFS('Pick Values'!$B$2:$B$81,'Pick Values'!$A$2:$A$81,"&gt;="&amp;$F175,'Pick Values'!$A$2:$A$81,"&lt;="&amp;$G175),0)</f>
        <v>472</v>
      </c>
      <c r="J175" s="9">
        <f>IF($B175=2027,ROUND($I175*Ladder!$B$2,0),IF($B175=2028,ROUND($I175*Ladder!$B$3,0),$I175))</f>
        <v>378</v>
      </c>
    </row>
    <row r="176" spans="1:10" x14ac:dyDescent="0.3">
      <c r="A176" s="7">
        <v>174</v>
      </c>
      <c r="B176" s="7">
        <v>2028</v>
      </c>
      <c r="C176" s="7">
        <v>4</v>
      </c>
      <c r="D176" s="8" t="s">
        <v>15</v>
      </c>
      <c r="E176" s="15" t="s">
        <v>15</v>
      </c>
      <c r="F176" s="7">
        <f>INDEX(Ladder!$B$6:$G$21,MATCH($D176,Ladder!$A$6:$A$21,0),IF($B176=2026,1,IF($B176=2027,3,5)))+($C176-1)*16</f>
        <v>56</v>
      </c>
      <c r="G176" s="7">
        <f>INDEX(Ladder!$B$6:$G$21,MATCH($D176,Ladder!$A$6:$A$21,0),IF($B176=2026,2,IF($B176=2027,4,6)))+($C176-1)*16</f>
        <v>56</v>
      </c>
      <c r="H176" s="7" t="str">
        <f t="shared" si="2"/>
        <v>#56</v>
      </c>
      <c r="I176" s="9">
        <f>ROUND(AVERAGEIFS('Pick Values'!$B$2:$B$81,'Pick Values'!$A$2:$A$81,"&gt;="&amp;$F176,'Pick Values'!$A$2:$A$81,"&lt;="&amp;$G176),0)</f>
        <v>223</v>
      </c>
      <c r="J176" s="9">
        <f>IF($B176=2027,ROUND($I176*Ladder!$B$2,0),IF($B176=2028,ROUND($I176*Ladder!$B$3,0),$I176))</f>
        <v>178</v>
      </c>
    </row>
    <row r="177" spans="1:10" x14ac:dyDescent="0.3">
      <c r="A177" s="7">
        <v>175</v>
      </c>
      <c r="B177" s="7">
        <v>2028</v>
      </c>
      <c r="C177" s="7">
        <v>5</v>
      </c>
      <c r="D177" s="8" t="s">
        <v>15</v>
      </c>
      <c r="E177" s="15" t="s">
        <v>15</v>
      </c>
      <c r="F177" s="7">
        <f>INDEX(Ladder!$B$6:$G$21,MATCH($D177,Ladder!$A$6:$A$21,0),IF($B177=2026,1,IF($B177=2027,3,5)))+($C177-1)*16</f>
        <v>72</v>
      </c>
      <c r="G177" s="7">
        <f>INDEX(Ladder!$B$6:$G$21,MATCH($D177,Ladder!$A$6:$A$21,0),IF($B177=2026,2,IF($B177=2027,4,6)))+($C177-1)*16</f>
        <v>72</v>
      </c>
      <c r="H177" s="7" t="str">
        <f t="shared" si="2"/>
        <v>#72</v>
      </c>
      <c r="I177" s="9">
        <f>ROUND(AVERAGEIFS('Pick Values'!$B$2:$B$81,'Pick Values'!$A$2:$A$81,"&gt;="&amp;$F177,'Pick Values'!$A$2:$A$81,"&lt;="&amp;$G177),0)</f>
        <v>0</v>
      </c>
      <c r="J177" s="9">
        <f>IF($B177=2027,ROUND($I177*Ladder!$B$2,0),IF($B177=2028,ROUND($I177*Ladder!$B$3,0),$I177))</f>
        <v>0</v>
      </c>
    </row>
    <row r="178" spans="1:10" x14ac:dyDescent="0.3">
      <c r="A178" s="7">
        <v>176</v>
      </c>
      <c r="B178" s="7">
        <v>2028</v>
      </c>
      <c r="C178" s="7">
        <v>1</v>
      </c>
      <c r="D178" s="8" t="s">
        <v>16</v>
      </c>
      <c r="E178" s="15" t="s">
        <v>16</v>
      </c>
      <c r="F178" s="7">
        <f>INDEX(Ladder!$B$6:$G$21,MATCH($D178,Ladder!$A$6:$A$21,0),IF($B178=2026,1,IF($B178=2027,3,5)))+($C178-1)*16</f>
        <v>7</v>
      </c>
      <c r="G178" s="7">
        <f>INDEX(Ladder!$B$6:$G$21,MATCH($D178,Ladder!$A$6:$A$21,0),IF($B178=2026,2,IF($B178=2027,4,6)))+($C178-1)*16</f>
        <v>7</v>
      </c>
      <c r="H178" s="7" t="str">
        <f t="shared" si="2"/>
        <v>#7</v>
      </c>
      <c r="I178" s="9">
        <f>ROUND(AVERAGEIFS('Pick Values'!$B$2:$B$81,'Pick Values'!$A$2:$A$81,"&gt;="&amp;$F178,'Pick Values'!$A$2:$A$81,"&lt;="&amp;$G178),0)</f>
        <v>1383</v>
      </c>
      <c r="J178" s="9">
        <f>IF($B178=2027,ROUND($I178*Ladder!$B$2,0),IF($B178=2028,ROUND($I178*Ladder!$B$3,0),$I178))</f>
        <v>1106</v>
      </c>
    </row>
    <row r="179" spans="1:10" x14ac:dyDescent="0.3">
      <c r="A179" s="7">
        <v>177</v>
      </c>
      <c r="B179" s="7">
        <v>2028</v>
      </c>
      <c r="C179" s="7">
        <v>2</v>
      </c>
      <c r="D179" s="8" t="s">
        <v>16</v>
      </c>
      <c r="E179" s="15" t="s">
        <v>16</v>
      </c>
      <c r="F179" s="7">
        <f>INDEX(Ladder!$B$6:$G$21,MATCH($D179,Ladder!$A$6:$A$21,0),IF($B179=2026,1,IF($B179=2027,3,5)))+($C179-1)*16</f>
        <v>23</v>
      </c>
      <c r="G179" s="7">
        <f>INDEX(Ladder!$B$6:$G$21,MATCH($D179,Ladder!$A$6:$A$21,0),IF($B179=2026,2,IF($B179=2027,4,6)))+($C179-1)*16</f>
        <v>23</v>
      </c>
      <c r="H179" s="7" t="str">
        <f t="shared" si="2"/>
        <v>#23</v>
      </c>
      <c r="I179" s="9">
        <f>ROUND(AVERAGEIFS('Pick Values'!$B$2:$B$81,'Pick Values'!$A$2:$A$81,"&gt;="&amp;$F179,'Pick Values'!$A$2:$A$81,"&lt;="&amp;$G179),0)</f>
        <v>736</v>
      </c>
      <c r="J179" s="9">
        <f>IF($B179=2027,ROUND($I179*Ladder!$B$2,0),IF($B179=2028,ROUND($I179*Ladder!$B$3,0),$I179))</f>
        <v>589</v>
      </c>
    </row>
    <row r="180" spans="1:10" x14ac:dyDescent="0.3">
      <c r="A180" s="7">
        <v>178</v>
      </c>
      <c r="B180" s="7">
        <v>2028</v>
      </c>
      <c r="C180" s="7">
        <v>3</v>
      </c>
      <c r="D180" s="8" t="s">
        <v>16</v>
      </c>
      <c r="E180" s="15" t="s">
        <v>16</v>
      </c>
      <c r="F180" s="7">
        <f>INDEX(Ladder!$B$6:$G$21,MATCH($D180,Ladder!$A$6:$A$21,0),IF($B180=2026,1,IF($B180=2027,3,5)))+($C180-1)*16</f>
        <v>39</v>
      </c>
      <c r="G180" s="7">
        <f>INDEX(Ladder!$B$6:$G$21,MATCH($D180,Ladder!$A$6:$A$21,0),IF($B180=2026,2,IF($B180=2027,4,6)))+($C180-1)*16</f>
        <v>39</v>
      </c>
      <c r="H180" s="7" t="str">
        <f t="shared" si="2"/>
        <v>#39</v>
      </c>
      <c r="I180" s="9">
        <f>ROUND(AVERAGEIFS('Pick Values'!$B$2:$B$81,'Pick Values'!$A$2:$A$81,"&gt;="&amp;$F180,'Pick Values'!$A$2:$A$81,"&lt;="&amp;$G180),0)</f>
        <v>489</v>
      </c>
      <c r="J180" s="9">
        <f>IF($B180=2027,ROUND($I180*Ladder!$B$2,0),IF($B180=2028,ROUND($I180*Ladder!$B$3,0),$I180))</f>
        <v>391</v>
      </c>
    </row>
    <row r="181" spans="1:10" x14ac:dyDescent="0.3">
      <c r="A181" s="7">
        <v>179</v>
      </c>
      <c r="B181" s="7">
        <v>2028</v>
      </c>
      <c r="C181" s="7">
        <v>4</v>
      </c>
      <c r="D181" s="8" t="s">
        <v>16</v>
      </c>
      <c r="E181" s="15" t="s">
        <v>16</v>
      </c>
      <c r="F181" s="7">
        <f>INDEX(Ladder!$B$6:$G$21,MATCH($D181,Ladder!$A$6:$A$21,0),IF($B181=2026,1,IF($B181=2027,3,5)))+($C181-1)*16</f>
        <v>55</v>
      </c>
      <c r="G181" s="7">
        <f>INDEX(Ladder!$B$6:$G$21,MATCH($D181,Ladder!$A$6:$A$21,0),IF($B181=2026,2,IF($B181=2027,4,6)))+($C181-1)*16</f>
        <v>55</v>
      </c>
      <c r="H181" s="7" t="str">
        <f t="shared" si="2"/>
        <v>#55</v>
      </c>
      <c r="I181" s="9">
        <f>ROUND(AVERAGEIFS('Pick Values'!$B$2:$B$81,'Pick Values'!$A$2:$A$81,"&gt;="&amp;$F181,'Pick Values'!$A$2:$A$81,"&lt;="&amp;$G181),0)</f>
        <v>232</v>
      </c>
      <c r="J181" s="9">
        <f>IF($B181=2027,ROUND($I181*Ladder!$B$2,0),IF($B181=2028,ROUND($I181*Ladder!$B$3,0),$I181))</f>
        <v>186</v>
      </c>
    </row>
    <row r="182" spans="1:10" x14ac:dyDescent="0.3">
      <c r="A182" s="7">
        <v>180</v>
      </c>
      <c r="B182" s="7">
        <v>2028</v>
      </c>
      <c r="C182" s="7">
        <v>5</v>
      </c>
      <c r="D182" s="8" t="s">
        <v>16</v>
      </c>
      <c r="E182" s="15" t="s">
        <v>16</v>
      </c>
      <c r="F182" s="7">
        <f>INDEX(Ladder!$B$6:$G$21,MATCH($D182,Ladder!$A$6:$A$21,0),IF($B182=2026,1,IF($B182=2027,3,5)))+($C182-1)*16</f>
        <v>71</v>
      </c>
      <c r="G182" s="7">
        <f>INDEX(Ladder!$B$6:$G$21,MATCH($D182,Ladder!$A$6:$A$21,0),IF($B182=2026,2,IF($B182=2027,4,6)))+($C182-1)*16</f>
        <v>71</v>
      </c>
      <c r="H182" s="7" t="str">
        <f t="shared" si="2"/>
        <v>#71</v>
      </c>
      <c r="I182" s="9">
        <f>ROUND(AVERAGEIFS('Pick Values'!$B$2:$B$81,'Pick Values'!$A$2:$A$81,"&gt;="&amp;$F182,'Pick Values'!$A$2:$A$81,"&lt;="&amp;$G182),0)</f>
        <v>0</v>
      </c>
      <c r="J182" s="9">
        <f>IF($B182=2027,ROUND($I182*Ladder!$B$2,0),IF($B182=2028,ROUND($I182*Ladder!$B$3,0),$I182))</f>
        <v>0</v>
      </c>
    </row>
    <row r="183" spans="1:10" x14ac:dyDescent="0.3">
      <c r="A183" s="7">
        <v>181</v>
      </c>
      <c r="B183" s="7">
        <v>2028</v>
      </c>
      <c r="C183" s="7">
        <v>1</v>
      </c>
      <c r="D183" s="8" t="s">
        <v>17</v>
      </c>
      <c r="E183" s="15" t="s">
        <v>17</v>
      </c>
      <c r="F183" s="7">
        <f>INDEX(Ladder!$B$6:$G$21,MATCH($D183,Ladder!$A$6:$A$21,0),IF($B183=2026,1,IF($B183=2027,3,5)))+($C183-1)*16</f>
        <v>4</v>
      </c>
      <c r="G183" s="7">
        <f>INDEX(Ladder!$B$6:$G$21,MATCH($D183,Ladder!$A$6:$A$21,0),IF($B183=2026,2,IF($B183=2027,4,6)))+($C183-1)*16</f>
        <v>4</v>
      </c>
      <c r="H183" s="7" t="str">
        <f t="shared" si="2"/>
        <v>#4</v>
      </c>
      <c r="I183" s="9">
        <f>ROUND(AVERAGEIFS('Pick Values'!$B$2:$B$81,'Pick Values'!$A$2:$A$81,"&gt;="&amp;$F183,'Pick Values'!$A$2:$A$81,"&lt;="&amp;$G183),0)</f>
        <v>2074</v>
      </c>
      <c r="J183" s="9">
        <f>IF($B183=2027,ROUND($I183*Ladder!$B$2,0),IF($B183=2028,ROUND($I183*Ladder!$B$3,0),$I183))</f>
        <v>1659</v>
      </c>
    </row>
    <row r="184" spans="1:10" x14ac:dyDescent="0.3">
      <c r="A184" s="7">
        <v>182</v>
      </c>
      <c r="B184" s="7">
        <v>2028</v>
      </c>
      <c r="C184" s="7">
        <v>2</v>
      </c>
      <c r="D184" s="8" t="s">
        <v>17</v>
      </c>
      <c r="E184" s="15" t="s">
        <v>17</v>
      </c>
      <c r="F184" s="7">
        <f>INDEX(Ladder!$B$6:$G$21,MATCH($D184,Ladder!$A$6:$A$21,0),IF($B184=2026,1,IF($B184=2027,3,5)))+($C184-1)*16</f>
        <v>20</v>
      </c>
      <c r="G184" s="7">
        <f>INDEX(Ladder!$B$6:$G$21,MATCH($D184,Ladder!$A$6:$A$21,0),IF($B184=2026,2,IF($B184=2027,4,6)))+($C184-1)*16</f>
        <v>20</v>
      </c>
      <c r="H184" s="7" t="str">
        <f t="shared" si="2"/>
        <v>#20</v>
      </c>
      <c r="I184" s="9">
        <f>ROUND(AVERAGEIFS('Pick Values'!$B$2:$B$81,'Pick Values'!$A$2:$A$81,"&gt;="&amp;$F184,'Pick Values'!$A$2:$A$81,"&lt;="&amp;$G184),0)</f>
        <v>807</v>
      </c>
      <c r="J184" s="9">
        <f>IF($B184=2027,ROUND($I184*Ladder!$B$2,0),IF($B184=2028,ROUND($I184*Ladder!$B$3,0),$I184))</f>
        <v>646</v>
      </c>
    </row>
    <row r="185" spans="1:10" x14ac:dyDescent="0.3">
      <c r="A185" s="7">
        <v>183</v>
      </c>
      <c r="B185" s="7">
        <v>2028</v>
      </c>
      <c r="C185" s="7">
        <v>3</v>
      </c>
      <c r="D185" s="8" t="s">
        <v>17</v>
      </c>
      <c r="E185" s="15" t="s">
        <v>17</v>
      </c>
      <c r="F185" s="7">
        <f>INDEX(Ladder!$B$6:$G$21,MATCH($D185,Ladder!$A$6:$A$21,0),IF($B185=2026,1,IF($B185=2027,3,5)))+($C185-1)*16</f>
        <v>36</v>
      </c>
      <c r="G185" s="7">
        <f>INDEX(Ladder!$B$6:$G$21,MATCH($D185,Ladder!$A$6:$A$21,0),IF($B185=2026,2,IF($B185=2027,4,6)))+($C185-1)*16</f>
        <v>36</v>
      </c>
      <c r="H185" s="7" t="str">
        <f t="shared" si="2"/>
        <v>#36</v>
      </c>
      <c r="I185" s="9">
        <f>ROUND(AVERAGEIFS('Pick Values'!$B$2:$B$81,'Pick Values'!$A$2:$A$81,"&gt;="&amp;$F185,'Pick Values'!$A$2:$A$81,"&lt;="&amp;$G185),0)</f>
        <v>525</v>
      </c>
      <c r="J185" s="9">
        <f>IF($B185=2027,ROUND($I185*Ladder!$B$2,0),IF($B185=2028,ROUND($I185*Ladder!$B$3,0),$I185))</f>
        <v>420</v>
      </c>
    </row>
    <row r="186" spans="1:10" x14ac:dyDescent="0.3">
      <c r="A186" s="7">
        <v>184</v>
      </c>
      <c r="B186" s="7">
        <v>2028</v>
      </c>
      <c r="C186" s="7">
        <v>4</v>
      </c>
      <c r="D186" s="8" t="s">
        <v>17</v>
      </c>
      <c r="E186" s="15" t="s">
        <v>17</v>
      </c>
      <c r="F186" s="7">
        <f>INDEX(Ladder!$B$6:$G$21,MATCH($D186,Ladder!$A$6:$A$21,0),IF($B186=2026,1,IF($B186=2027,3,5)))+($C186-1)*16</f>
        <v>52</v>
      </c>
      <c r="G186" s="7">
        <f>INDEX(Ladder!$B$6:$G$21,MATCH($D186,Ladder!$A$6:$A$21,0),IF($B186=2026,2,IF($B186=2027,4,6)))+($C186-1)*16</f>
        <v>52</v>
      </c>
      <c r="H186" s="7" t="str">
        <f t="shared" si="2"/>
        <v>#52</v>
      </c>
      <c r="I186" s="9">
        <f>ROUND(AVERAGEIFS('Pick Values'!$B$2:$B$81,'Pick Values'!$A$2:$A$81,"&gt;="&amp;$F186,'Pick Values'!$A$2:$A$81,"&lt;="&amp;$G186),0)</f>
        <v>256</v>
      </c>
      <c r="J186" s="9">
        <f>IF($B186=2027,ROUND($I186*Ladder!$B$2,0),IF($B186=2028,ROUND($I186*Ladder!$B$3,0),$I186))</f>
        <v>205</v>
      </c>
    </row>
    <row r="187" spans="1:10" x14ac:dyDescent="0.3">
      <c r="A187" s="7">
        <v>185</v>
      </c>
      <c r="B187" s="7">
        <v>2028</v>
      </c>
      <c r="C187" s="7">
        <v>5</v>
      </c>
      <c r="D187" s="8" t="s">
        <v>17</v>
      </c>
      <c r="E187" s="15" t="s">
        <v>17</v>
      </c>
      <c r="F187" s="7">
        <f>INDEX(Ladder!$B$6:$G$21,MATCH($D187,Ladder!$A$6:$A$21,0),IF($B187=2026,1,IF($B187=2027,3,5)))+($C187-1)*16</f>
        <v>68</v>
      </c>
      <c r="G187" s="7">
        <f>INDEX(Ladder!$B$6:$G$21,MATCH($D187,Ladder!$A$6:$A$21,0),IF($B187=2026,2,IF($B187=2027,4,6)))+($C187-1)*16</f>
        <v>68</v>
      </c>
      <c r="H187" s="7" t="str">
        <f t="shared" si="2"/>
        <v>#68</v>
      </c>
      <c r="I187" s="9">
        <f>ROUND(AVERAGEIFS('Pick Values'!$B$2:$B$81,'Pick Values'!$A$2:$A$81,"&gt;="&amp;$F187,'Pick Values'!$A$2:$A$81,"&lt;="&amp;$G187),0)</f>
        <v>0</v>
      </c>
      <c r="J187" s="9">
        <f>IF($B187=2027,ROUND($I187*Ladder!$B$2,0),IF($B187=2028,ROUND($I187*Ladder!$B$3,0),$I187))</f>
        <v>0</v>
      </c>
    </row>
    <row r="188" spans="1:10" x14ac:dyDescent="0.3">
      <c r="A188" s="7">
        <v>186</v>
      </c>
      <c r="B188" s="7">
        <v>2028</v>
      </c>
      <c r="C188" s="7">
        <v>1</v>
      </c>
      <c r="D188" s="8" t="s">
        <v>18</v>
      </c>
      <c r="E188" s="15" t="s">
        <v>18</v>
      </c>
      <c r="F188" s="7">
        <f>INDEX(Ladder!$B$6:$G$21,MATCH($D188,Ladder!$A$6:$A$21,0),IF($B188=2026,1,IF($B188=2027,3,5)))+($C188-1)*16</f>
        <v>2</v>
      </c>
      <c r="G188" s="7">
        <f>INDEX(Ladder!$B$6:$G$21,MATCH($D188,Ladder!$A$6:$A$21,0),IF($B188=2026,2,IF($B188=2027,4,6)))+($C188-1)*16</f>
        <v>2</v>
      </c>
      <c r="H188" s="7" t="str">
        <f t="shared" si="2"/>
        <v>#2</v>
      </c>
      <c r="I188" s="9">
        <f>ROUND(AVERAGEIFS('Pick Values'!$B$2:$B$81,'Pick Values'!$A$2:$A$81,"&gt;="&amp;$F188,'Pick Values'!$A$2:$A$81,"&lt;="&amp;$G188),0)</f>
        <v>2733</v>
      </c>
      <c r="J188" s="9">
        <f>IF($B188=2027,ROUND($I188*Ladder!$B$2,0),IF($B188=2028,ROUND($I188*Ladder!$B$3,0),$I188))</f>
        <v>2186</v>
      </c>
    </row>
    <row r="189" spans="1:10" x14ac:dyDescent="0.3">
      <c r="A189" s="7">
        <v>187</v>
      </c>
      <c r="B189" s="7">
        <v>2028</v>
      </c>
      <c r="C189" s="7">
        <v>2</v>
      </c>
      <c r="D189" s="8" t="s">
        <v>18</v>
      </c>
      <c r="E189" s="15" t="s">
        <v>18</v>
      </c>
      <c r="F189" s="7">
        <f>INDEX(Ladder!$B$6:$G$21,MATCH($D189,Ladder!$A$6:$A$21,0),IF($B189=2026,1,IF($B189=2027,3,5)))+($C189-1)*16</f>
        <v>18</v>
      </c>
      <c r="G189" s="7">
        <f>INDEX(Ladder!$B$6:$G$21,MATCH($D189,Ladder!$A$6:$A$21,0),IF($B189=2026,2,IF($B189=2027,4,6)))+($C189-1)*16</f>
        <v>18</v>
      </c>
      <c r="H189" s="7" t="str">
        <f t="shared" si="2"/>
        <v>#18</v>
      </c>
      <c r="I189" s="9">
        <f>ROUND(AVERAGEIFS('Pick Values'!$B$2:$B$81,'Pick Values'!$A$2:$A$81,"&gt;="&amp;$F189,'Pick Values'!$A$2:$A$81,"&lt;="&amp;$G189),0)</f>
        <v>811</v>
      </c>
      <c r="J189" s="9">
        <f>IF($B189=2027,ROUND($I189*Ladder!$B$2,0),IF($B189=2028,ROUND($I189*Ladder!$B$3,0),$I189))</f>
        <v>649</v>
      </c>
    </row>
    <row r="190" spans="1:10" x14ac:dyDescent="0.3">
      <c r="A190" s="7">
        <v>188</v>
      </c>
      <c r="B190" s="7">
        <v>2028</v>
      </c>
      <c r="C190" s="7">
        <v>3</v>
      </c>
      <c r="D190" s="8" t="s">
        <v>18</v>
      </c>
      <c r="E190" s="15" t="s">
        <v>18</v>
      </c>
      <c r="F190" s="7">
        <f>INDEX(Ladder!$B$6:$G$21,MATCH($D190,Ladder!$A$6:$A$21,0),IF($B190=2026,1,IF($B190=2027,3,5)))+($C190-1)*16</f>
        <v>34</v>
      </c>
      <c r="G190" s="7">
        <f>INDEX(Ladder!$B$6:$G$21,MATCH($D190,Ladder!$A$6:$A$21,0),IF($B190=2026,2,IF($B190=2027,4,6)))+($C190-1)*16</f>
        <v>34</v>
      </c>
      <c r="H190" s="7" t="str">
        <f t="shared" si="2"/>
        <v>#34</v>
      </c>
      <c r="I190" s="9">
        <f>ROUND(AVERAGEIFS('Pick Values'!$B$2:$B$81,'Pick Values'!$A$2:$A$81,"&gt;="&amp;$F190,'Pick Values'!$A$2:$A$81,"&lt;="&amp;$G190),0)</f>
        <v>546</v>
      </c>
      <c r="J190" s="9">
        <f>IF($B190=2027,ROUND($I190*Ladder!$B$2,0),IF($B190=2028,ROUND($I190*Ladder!$B$3,0),$I190))</f>
        <v>437</v>
      </c>
    </row>
    <row r="191" spans="1:10" x14ac:dyDescent="0.3">
      <c r="A191" s="7">
        <v>189</v>
      </c>
      <c r="B191" s="7">
        <v>2028</v>
      </c>
      <c r="C191" s="7">
        <v>4</v>
      </c>
      <c r="D191" s="8" t="s">
        <v>18</v>
      </c>
      <c r="E191" s="15" t="s">
        <v>18</v>
      </c>
      <c r="F191" s="7">
        <f>INDEX(Ladder!$B$6:$G$21,MATCH($D191,Ladder!$A$6:$A$21,0),IF($B191=2026,1,IF($B191=2027,3,5)))+($C191-1)*16</f>
        <v>50</v>
      </c>
      <c r="G191" s="7">
        <f>INDEX(Ladder!$B$6:$G$21,MATCH($D191,Ladder!$A$6:$A$21,0),IF($B191=2026,2,IF($B191=2027,4,6)))+($C191-1)*16</f>
        <v>50</v>
      </c>
      <c r="H191" s="7" t="str">
        <f t="shared" si="2"/>
        <v>#50</v>
      </c>
      <c r="I191" s="9">
        <f>ROUND(AVERAGEIFS('Pick Values'!$B$2:$B$81,'Pick Values'!$A$2:$A$81,"&gt;="&amp;$F191,'Pick Values'!$A$2:$A$81,"&lt;="&amp;$G191),0)</f>
        <v>274</v>
      </c>
      <c r="J191" s="9">
        <f>IF($B191=2027,ROUND($I191*Ladder!$B$2,0),IF($B191=2028,ROUND($I191*Ladder!$B$3,0),$I191))</f>
        <v>219</v>
      </c>
    </row>
    <row r="192" spans="1:10" x14ac:dyDescent="0.3">
      <c r="A192" s="7">
        <v>190</v>
      </c>
      <c r="B192" s="7">
        <v>2028</v>
      </c>
      <c r="C192" s="7">
        <v>5</v>
      </c>
      <c r="D192" s="8" t="s">
        <v>18</v>
      </c>
      <c r="E192" s="15" t="s">
        <v>18</v>
      </c>
      <c r="F192" s="7">
        <f>INDEX(Ladder!$B$6:$G$21,MATCH($D192,Ladder!$A$6:$A$21,0),IF($B192=2026,1,IF($B192=2027,3,5)))+($C192-1)*16</f>
        <v>66</v>
      </c>
      <c r="G192" s="7">
        <f>INDEX(Ladder!$B$6:$G$21,MATCH($D192,Ladder!$A$6:$A$21,0),IF($B192=2026,2,IF($B192=2027,4,6)))+($C192-1)*16</f>
        <v>66</v>
      </c>
      <c r="H192" s="7" t="str">
        <f t="shared" si="2"/>
        <v>#66</v>
      </c>
      <c r="I192" s="9">
        <f>ROUND(AVERAGEIFS('Pick Values'!$B$2:$B$81,'Pick Values'!$A$2:$A$81,"&gt;="&amp;$F192,'Pick Values'!$A$2:$A$81,"&lt;="&amp;$G192),0)</f>
        <v>0</v>
      </c>
      <c r="J192" s="9">
        <f>IF($B192=2027,ROUND($I192*Ladder!$B$2,0),IF($B192=2028,ROUND($I192*Ladder!$B$3,0),$I192))</f>
        <v>0</v>
      </c>
    </row>
    <row r="193" spans="1:10" x14ac:dyDescent="0.3">
      <c r="A193" s="7">
        <v>191</v>
      </c>
      <c r="B193" s="7">
        <v>2028</v>
      </c>
      <c r="C193" s="7">
        <v>1</v>
      </c>
      <c r="D193" s="8" t="s">
        <v>19</v>
      </c>
      <c r="E193" s="15" t="s">
        <v>19</v>
      </c>
      <c r="F193" s="7">
        <f>INDEX(Ladder!$B$6:$G$21,MATCH($D193,Ladder!$A$6:$A$21,0),IF($B193=2026,1,IF($B193=2027,3,5)))+($C193-1)*16</f>
        <v>13</v>
      </c>
      <c r="G193" s="7">
        <f>INDEX(Ladder!$B$6:$G$21,MATCH($D193,Ladder!$A$6:$A$21,0),IF($B193=2026,2,IF($B193=2027,4,6)))+($C193-1)*16</f>
        <v>13</v>
      </c>
      <c r="H193" s="7" t="str">
        <f t="shared" si="2"/>
        <v>#13</v>
      </c>
      <c r="I193" s="9">
        <f>ROUND(AVERAGEIFS('Pick Values'!$B$2:$B$81,'Pick Values'!$A$2:$A$81,"&gt;="&amp;$F193,'Pick Values'!$A$2:$A$81,"&lt;="&amp;$G193),0)</f>
        <v>1131</v>
      </c>
      <c r="J193" s="9">
        <f>IF($B193=2027,ROUND($I193*Ladder!$B$2,0),IF($B193=2028,ROUND($I193*Ladder!$B$3,0),$I193))</f>
        <v>905</v>
      </c>
    </row>
    <row r="194" spans="1:10" x14ac:dyDescent="0.3">
      <c r="A194" s="7">
        <v>192</v>
      </c>
      <c r="B194" s="7">
        <v>2028</v>
      </c>
      <c r="C194" s="7">
        <v>2</v>
      </c>
      <c r="D194" s="8" t="s">
        <v>19</v>
      </c>
      <c r="E194" s="15" t="s">
        <v>19</v>
      </c>
      <c r="F194" s="7">
        <f>INDEX(Ladder!$B$6:$G$21,MATCH($D194,Ladder!$A$6:$A$21,0),IF($B194=2026,1,IF($B194=2027,3,5)))+($C194-1)*16</f>
        <v>29</v>
      </c>
      <c r="G194" s="7">
        <f>INDEX(Ladder!$B$6:$G$21,MATCH($D194,Ladder!$A$6:$A$21,0),IF($B194=2026,2,IF($B194=2027,4,6)))+($C194-1)*16</f>
        <v>29</v>
      </c>
      <c r="H194" s="7" t="str">
        <f t="shared" si="2"/>
        <v>#29</v>
      </c>
      <c r="I194" s="9">
        <f>ROUND(AVERAGEIFS('Pick Values'!$B$2:$B$81,'Pick Values'!$A$2:$A$81,"&gt;="&amp;$F194,'Pick Values'!$A$2:$A$81,"&lt;="&amp;$G194),0)</f>
        <v>615</v>
      </c>
      <c r="J194" s="9">
        <f>IF($B194=2027,ROUND($I194*Ladder!$B$2,0),IF($B194=2028,ROUND($I194*Ladder!$B$3,0),$I194))</f>
        <v>492</v>
      </c>
    </row>
    <row r="195" spans="1:10" x14ac:dyDescent="0.3">
      <c r="A195" s="7">
        <v>193</v>
      </c>
      <c r="B195" s="7">
        <v>2028</v>
      </c>
      <c r="C195" s="7">
        <v>3</v>
      </c>
      <c r="D195" s="8" t="s">
        <v>19</v>
      </c>
      <c r="E195" s="15" t="s">
        <v>19</v>
      </c>
      <c r="F195" s="7">
        <f>INDEX(Ladder!$B$6:$G$21,MATCH($D195,Ladder!$A$6:$A$21,0),IF($B195=2026,1,IF($B195=2027,3,5)))+($C195-1)*16</f>
        <v>45</v>
      </c>
      <c r="G195" s="7">
        <f>INDEX(Ladder!$B$6:$G$21,MATCH($D195,Ladder!$A$6:$A$21,0),IF($B195=2026,2,IF($B195=2027,4,6)))+($C195-1)*16</f>
        <v>45</v>
      </c>
      <c r="H195" s="7" t="str">
        <f t="shared" ref="H195:H242" si="3">IF($F195=$G195,"#"&amp;$F195,"#"&amp;$F195&amp;"-"&amp;$G195)</f>
        <v>#45</v>
      </c>
      <c r="I195" s="9">
        <f>ROUND(AVERAGEIFS('Pick Values'!$B$2:$B$81,'Pick Values'!$A$2:$A$81,"&gt;="&amp;$F195,'Pick Values'!$A$2:$A$81,"&lt;="&amp;$G195),0)</f>
        <v>360</v>
      </c>
      <c r="J195" s="9">
        <f>IF($B195=2027,ROUND($I195*Ladder!$B$2,0),IF($B195=2028,ROUND($I195*Ladder!$B$3,0),$I195))</f>
        <v>288</v>
      </c>
    </row>
    <row r="196" spans="1:10" x14ac:dyDescent="0.3">
      <c r="A196" s="7">
        <v>194</v>
      </c>
      <c r="B196" s="7">
        <v>2028</v>
      </c>
      <c r="C196" s="7">
        <v>4</v>
      </c>
      <c r="D196" s="8" t="s">
        <v>19</v>
      </c>
      <c r="E196" s="15" t="s">
        <v>19</v>
      </c>
      <c r="F196" s="7">
        <f>INDEX(Ladder!$B$6:$G$21,MATCH($D196,Ladder!$A$6:$A$21,0),IF($B196=2026,1,IF($B196=2027,3,5)))+($C196-1)*16</f>
        <v>61</v>
      </c>
      <c r="G196" s="7">
        <f>INDEX(Ladder!$B$6:$G$21,MATCH($D196,Ladder!$A$6:$A$21,0),IF($B196=2026,2,IF($B196=2027,4,6)))+($C196-1)*16</f>
        <v>61</v>
      </c>
      <c r="H196" s="7" t="str">
        <f t="shared" si="3"/>
        <v>#61</v>
      </c>
      <c r="I196" s="9">
        <f>ROUND(AVERAGEIFS('Pick Values'!$B$2:$B$81,'Pick Values'!$A$2:$A$81,"&gt;="&amp;$F196,'Pick Values'!$A$2:$A$81,"&lt;="&amp;$G196),0)</f>
        <v>185</v>
      </c>
      <c r="J196" s="9">
        <f>IF($B196=2027,ROUND($I196*Ladder!$B$2,0),IF($B196=2028,ROUND($I196*Ladder!$B$3,0),$I196))</f>
        <v>148</v>
      </c>
    </row>
    <row r="197" spans="1:10" x14ac:dyDescent="0.3">
      <c r="A197" s="7">
        <v>195</v>
      </c>
      <c r="B197" s="7">
        <v>2028</v>
      </c>
      <c r="C197" s="7">
        <v>5</v>
      </c>
      <c r="D197" s="8" t="s">
        <v>19</v>
      </c>
      <c r="E197" s="15" t="s">
        <v>19</v>
      </c>
      <c r="F197" s="7">
        <f>INDEX(Ladder!$B$6:$G$21,MATCH($D197,Ladder!$A$6:$A$21,0),IF($B197=2026,1,IF($B197=2027,3,5)))+($C197-1)*16</f>
        <v>77</v>
      </c>
      <c r="G197" s="7">
        <f>INDEX(Ladder!$B$6:$G$21,MATCH($D197,Ladder!$A$6:$A$21,0),IF($B197=2026,2,IF($B197=2027,4,6)))+($C197-1)*16</f>
        <v>77</v>
      </c>
      <c r="H197" s="7" t="str">
        <f t="shared" si="3"/>
        <v>#77</v>
      </c>
      <c r="I197" s="9">
        <f>ROUND(AVERAGEIFS('Pick Values'!$B$2:$B$81,'Pick Values'!$A$2:$A$81,"&gt;="&amp;$F197,'Pick Values'!$A$2:$A$81,"&lt;="&amp;$G197),0)</f>
        <v>0</v>
      </c>
      <c r="J197" s="9">
        <f>IF($B197=2027,ROUND($I197*Ladder!$B$2,0),IF($B197=2028,ROUND($I197*Ladder!$B$3,0),$I197))</f>
        <v>0</v>
      </c>
    </row>
    <row r="198" spans="1:10" x14ac:dyDescent="0.3">
      <c r="A198" s="7">
        <v>196</v>
      </c>
      <c r="B198" s="7">
        <v>2028</v>
      </c>
      <c r="C198" s="7">
        <v>1</v>
      </c>
      <c r="D198" s="8" t="s">
        <v>20</v>
      </c>
      <c r="E198" s="15" t="s">
        <v>20</v>
      </c>
      <c r="F198" s="7">
        <f>INDEX(Ladder!$B$6:$G$21,MATCH($D198,Ladder!$A$6:$A$21,0),IF($B198=2026,1,IF($B198=2027,3,5)))+($C198-1)*16</f>
        <v>1</v>
      </c>
      <c r="G198" s="7">
        <f>INDEX(Ladder!$B$6:$G$21,MATCH($D198,Ladder!$A$6:$A$21,0),IF($B198=2026,2,IF($B198=2027,4,6)))+($C198-1)*16</f>
        <v>1</v>
      </c>
      <c r="H198" s="7" t="str">
        <f t="shared" si="3"/>
        <v>#1</v>
      </c>
      <c r="I198" s="9">
        <f>ROUND(AVERAGEIFS('Pick Values'!$B$2:$B$81,'Pick Values'!$A$2:$A$81,"&gt;="&amp;$F198,'Pick Values'!$A$2:$A$81,"&lt;="&amp;$G198),0)</f>
        <v>3000</v>
      </c>
      <c r="J198" s="9">
        <f>IF($B198=2027,ROUND($I198*Ladder!$B$2,0),IF($B198=2028,ROUND($I198*Ladder!$B$3,0),$I198))</f>
        <v>2400</v>
      </c>
    </row>
    <row r="199" spans="1:10" x14ac:dyDescent="0.3">
      <c r="A199" s="7">
        <v>197</v>
      </c>
      <c r="B199" s="7">
        <v>2028</v>
      </c>
      <c r="C199" s="7">
        <v>2</v>
      </c>
      <c r="D199" s="8" t="s">
        <v>20</v>
      </c>
      <c r="E199" s="15" t="s">
        <v>20</v>
      </c>
      <c r="F199" s="7">
        <f>INDEX(Ladder!$B$6:$G$21,MATCH($D199,Ladder!$A$6:$A$21,0),IF($B199=2026,1,IF($B199=2027,3,5)))+($C199-1)*16</f>
        <v>17</v>
      </c>
      <c r="G199" s="7">
        <f>INDEX(Ladder!$B$6:$G$21,MATCH($D199,Ladder!$A$6:$A$21,0),IF($B199=2026,2,IF($B199=2027,4,6)))+($C199-1)*16</f>
        <v>17</v>
      </c>
      <c r="H199" s="7" t="str">
        <f t="shared" si="3"/>
        <v>#17</v>
      </c>
      <c r="I199" s="9">
        <f>ROUND(AVERAGEIFS('Pick Values'!$B$2:$B$81,'Pick Values'!$A$2:$A$81,"&gt;="&amp;$F199,'Pick Values'!$A$2:$A$81,"&lt;="&amp;$G199),0)</f>
        <v>812</v>
      </c>
      <c r="J199" s="9">
        <f>IF($B199=2027,ROUND($I199*Ladder!$B$2,0),IF($B199=2028,ROUND($I199*Ladder!$B$3,0),$I199))</f>
        <v>650</v>
      </c>
    </row>
    <row r="200" spans="1:10" x14ac:dyDescent="0.3">
      <c r="A200" s="7">
        <v>198</v>
      </c>
      <c r="B200" s="7">
        <v>2028</v>
      </c>
      <c r="C200" s="7">
        <v>3</v>
      </c>
      <c r="D200" s="8" t="s">
        <v>20</v>
      </c>
      <c r="E200" s="15" t="s">
        <v>20</v>
      </c>
      <c r="F200" s="7">
        <f>INDEX(Ladder!$B$6:$G$21,MATCH($D200,Ladder!$A$6:$A$21,0),IF($B200=2026,1,IF($B200=2027,3,5)))+($C200-1)*16</f>
        <v>33</v>
      </c>
      <c r="G200" s="7">
        <f>INDEX(Ladder!$B$6:$G$21,MATCH($D200,Ladder!$A$6:$A$21,0),IF($B200=2026,2,IF($B200=2027,4,6)))+($C200-1)*16</f>
        <v>33</v>
      </c>
      <c r="H200" s="7" t="str">
        <f t="shared" si="3"/>
        <v>#33</v>
      </c>
      <c r="I200" s="9">
        <f>ROUND(AVERAGEIFS('Pick Values'!$B$2:$B$81,'Pick Values'!$A$2:$A$81,"&gt;="&amp;$F200,'Pick Values'!$A$2:$A$81,"&lt;="&amp;$G200),0)</f>
        <v>558</v>
      </c>
      <c r="J200" s="9">
        <f>IF($B200=2027,ROUND($I200*Ladder!$B$2,0),IF($B200=2028,ROUND($I200*Ladder!$B$3,0),$I200))</f>
        <v>446</v>
      </c>
    </row>
    <row r="201" spans="1:10" x14ac:dyDescent="0.3">
      <c r="A201" s="7">
        <v>199</v>
      </c>
      <c r="B201" s="7">
        <v>2028</v>
      </c>
      <c r="C201" s="7">
        <v>4</v>
      </c>
      <c r="D201" s="8" t="s">
        <v>20</v>
      </c>
      <c r="E201" s="15" t="s">
        <v>20</v>
      </c>
      <c r="F201" s="7">
        <f>INDEX(Ladder!$B$6:$G$21,MATCH($D201,Ladder!$A$6:$A$21,0),IF($B201=2026,1,IF($B201=2027,3,5)))+($C201-1)*16</f>
        <v>49</v>
      </c>
      <c r="G201" s="7">
        <f>INDEX(Ladder!$B$6:$G$21,MATCH($D201,Ladder!$A$6:$A$21,0),IF($B201=2026,2,IF($B201=2027,4,6)))+($C201-1)*16</f>
        <v>49</v>
      </c>
      <c r="H201" s="7" t="str">
        <f t="shared" si="3"/>
        <v>#49</v>
      </c>
      <c r="I201" s="9">
        <f>ROUND(AVERAGEIFS('Pick Values'!$B$2:$B$81,'Pick Values'!$A$2:$A$81,"&gt;="&amp;$F201,'Pick Values'!$A$2:$A$81,"&lt;="&amp;$G201),0)</f>
        <v>286</v>
      </c>
      <c r="J201" s="9">
        <f>IF($B201=2027,ROUND($I201*Ladder!$B$2,0),IF($B201=2028,ROUND($I201*Ladder!$B$3,0),$I201))</f>
        <v>229</v>
      </c>
    </row>
    <row r="202" spans="1:10" x14ac:dyDescent="0.3">
      <c r="A202" s="7">
        <v>200</v>
      </c>
      <c r="B202" s="7">
        <v>2028</v>
      </c>
      <c r="C202" s="7">
        <v>5</v>
      </c>
      <c r="D202" s="8" t="s">
        <v>20</v>
      </c>
      <c r="E202" s="15" t="s">
        <v>27</v>
      </c>
      <c r="F202" s="7">
        <f>INDEX(Ladder!$B$6:$G$21,MATCH($D202,Ladder!$A$6:$A$21,0),IF($B202=2026,1,IF($B202=2027,3,5)))+($C202-1)*16</f>
        <v>65</v>
      </c>
      <c r="G202" s="7">
        <f>INDEX(Ladder!$B$6:$G$21,MATCH($D202,Ladder!$A$6:$A$21,0),IF($B202=2026,2,IF($B202=2027,4,6)))+($C202-1)*16</f>
        <v>65</v>
      </c>
      <c r="H202" s="7" t="str">
        <f t="shared" si="3"/>
        <v>#65</v>
      </c>
      <c r="I202" s="9">
        <f>ROUND(AVERAGEIFS('Pick Values'!$B$2:$B$81,'Pick Values'!$A$2:$A$81,"&gt;="&amp;$F202,'Pick Values'!$A$2:$A$81,"&lt;="&amp;$G202),0)</f>
        <v>0</v>
      </c>
      <c r="J202" s="9">
        <f>IF($B202=2027,ROUND($I202*Ladder!$B$2,0),IF($B202=2028,ROUND($I202*Ladder!$B$3,0),$I202))</f>
        <v>0</v>
      </c>
    </row>
    <row r="203" spans="1:10" x14ac:dyDescent="0.3">
      <c r="A203" s="7">
        <v>201</v>
      </c>
      <c r="B203" s="7">
        <v>2028</v>
      </c>
      <c r="C203" s="7">
        <v>1</v>
      </c>
      <c r="D203" s="8" t="s">
        <v>21</v>
      </c>
      <c r="E203" s="15" t="s">
        <v>21</v>
      </c>
      <c r="F203" s="7">
        <f>INDEX(Ladder!$B$6:$G$21,MATCH($D203,Ladder!$A$6:$A$21,0),IF($B203=2026,1,IF($B203=2027,3,5)))+($C203-1)*16</f>
        <v>3</v>
      </c>
      <c r="G203" s="7">
        <f>INDEX(Ladder!$B$6:$G$21,MATCH($D203,Ladder!$A$6:$A$21,0),IF($B203=2026,2,IF($B203=2027,4,6)))+($C203-1)*16</f>
        <v>3</v>
      </c>
      <c r="H203" s="7" t="str">
        <f t="shared" si="3"/>
        <v>#3</v>
      </c>
      <c r="I203" s="9">
        <f>ROUND(AVERAGEIFS('Pick Values'!$B$2:$B$81,'Pick Values'!$A$2:$A$81,"&gt;="&amp;$F203,'Pick Values'!$A$2:$A$81,"&lt;="&amp;$G203),0)</f>
        <v>2436</v>
      </c>
      <c r="J203" s="9">
        <f>IF($B203=2027,ROUND($I203*Ladder!$B$2,0),IF($B203=2028,ROUND($I203*Ladder!$B$3,0),$I203))</f>
        <v>1949</v>
      </c>
    </row>
    <row r="204" spans="1:10" x14ac:dyDescent="0.3">
      <c r="A204" s="7">
        <v>202</v>
      </c>
      <c r="B204" s="7">
        <v>2028</v>
      </c>
      <c r="C204" s="7">
        <v>2</v>
      </c>
      <c r="D204" s="8" t="s">
        <v>21</v>
      </c>
      <c r="E204" s="15" t="s">
        <v>21</v>
      </c>
      <c r="F204" s="7">
        <f>INDEX(Ladder!$B$6:$G$21,MATCH($D204,Ladder!$A$6:$A$21,0),IF($B204=2026,1,IF($B204=2027,3,5)))+($C204-1)*16</f>
        <v>19</v>
      </c>
      <c r="G204" s="7">
        <f>INDEX(Ladder!$B$6:$G$21,MATCH($D204,Ladder!$A$6:$A$21,0),IF($B204=2026,2,IF($B204=2027,4,6)))+($C204-1)*16</f>
        <v>19</v>
      </c>
      <c r="H204" s="7" t="str">
        <f t="shared" si="3"/>
        <v>#19</v>
      </c>
      <c r="I204" s="9">
        <f>ROUND(AVERAGEIFS('Pick Values'!$B$2:$B$81,'Pick Values'!$A$2:$A$81,"&gt;="&amp;$F204,'Pick Values'!$A$2:$A$81,"&lt;="&amp;$G204),0)</f>
        <v>809</v>
      </c>
      <c r="J204" s="9">
        <f>IF($B204=2027,ROUND($I204*Ladder!$B$2,0),IF($B204=2028,ROUND($I204*Ladder!$B$3,0),$I204))</f>
        <v>647</v>
      </c>
    </row>
    <row r="205" spans="1:10" x14ac:dyDescent="0.3">
      <c r="A205" s="7">
        <v>203</v>
      </c>
      <c r="B205" s="7">
        <v>2028</v>
      </c>
      <c r="C205" s="7">
        <v>3</v>
      </c>
      <c r="D205" s="8" t="s">
        <v>21</v>
      </c>
      <c r="E205" s="15" t="s">
        <v>21</v>
      </c>
      <c r="F205" s="7">
        <f>INDEX(Ladder!$B$6:$G$21,MATCH($D205,Ladder!$A$6:$A$21,0),IF($B205=2026,1,IF($B205=2027,3,5)))+($C205-1)*16</f>
        <v>35</v>
      </c>
      <c r="G205" s="7">
        <f>INDEX(Ladder!$B$6:$G$21,MATCH($D205,Ladder!$A$6:$A$21,0),IF($B205=2026,2,IF($B205=2027,4,6)))+($C205-1)*16</f>
        <v>35</v>
      </c>
      <c r="H205" s="7" t="str">
        <f t="shared" si="3"/>
        <v>#35</v>
      </c>
      <c r="I205" s="9">
        <f>ROUND(AVERAGEIFS('Pick Values'!$B$2:$B$81,'Pick Values'!$A$2:$A$81,"&gt;="&amp;$F205,'Pick Values'!$A$2:$A$81,"&lt;="&amp;$G205),0)</f>
        <v>535</v>
      </c>
      <c r="J205" s="9">
        <f>IF($B205=2027,ROUND($I205*Ladder!$B$2,0),IF($B205=2028,ROUND($I205*Ladder!$B$3,0),$I205))</f>
        <v>428</v>
      </c>
    </row>
    <row r="206" spans="1:10" x14ac:dyDescent="0.3">
      <c r="A206" s="7">
        <v>204</v>
      </c>
      <c r="B206" s="7">
        <v>2028</v>
      </c>
      <c r="C206" s="7">
        <v>4</v>
      </c>
      <c r="D206" s="8" t="s">
        <v>21</v>
      </c>
      <c r="E206" s="15" t="s">
        <v>21</v>
      </c>
      <c r="F206" s="7">
        <f>INDEX(Ladder!$B$6:$G$21,MATCH($D206,Ladder!$A$6:$A$21,0),IF($B206=2026,1,IF($B206=2027,3,5)))+($C206-1)*16</f>
        <v>51</v>
      </c>
      <c r="G206" s="7">
        <f>INDEX(Ladder!$B$6:$G$21,MATCH($D206,Ladder!$A$6:$A$21,0),IF($B206=2026,2,IF($B206=2027,4,6)))+($C206-1)*16</f>
        <v>51</v>
      </c>
      <c r="H206" s="7" t="str">
        <f t="shared" si="3"/>
        <v>#51</v>
      </c>
      <c r="I206" s="9">
        <f>ROUND(AVERAGEIFS('Pick Values'!$B$2:$B$81,'Pick Values'!$A$2:$A$81,"&gt;="&amp;$F206,'Pick Values'!$A$2:$A$81,"&lt;="&amp;$G206),0)</f>
        <v>264</v>
      </c>
      <c r="J206" s="9">
        <f>IF($B206=2027,ROUND($I206*Ladder!$B$2,0),IF($B206=2028,ROUND($I206*Ladder!$B$3,0),$I206))</f>
        <v>211</v>
      </c>
    </row>
    <row r="207" spans="1:10" x14ac:dyDescent="0.3">
      <c r="A207" s="7">
        <v>205</v>
      </c>
      <c r="B207" s="7">
        <v>2028</v>
      </c>
      <c r="C207" s="7">
        <v>5</v>
      </c>
      <c r="D207" s="8" t="s">
        <v>21</v>
      </c>
      <c r="E207" s="15" t="s">
        <v>21</v>
      </c>
      <c r="F207" s="7">
        <f>INDEX(Ladder!$B$6:$G$21,MATCH($D207,Ladder!$A$6:$A$21,0),IF($B207=2026,1,IF($B207=2027,3,5)))+($C207-1)*16</f>
        <v>67</v>
      </c>
      <c r="G207" s="7">
        <f>INDEX(Ladder!$B$6:$G$21,MATCH($D207,Ladder!$A$6:$A$21,0),IF($B207=2026,2,IF($B207=2027,4,6)))+($C207-1)*16</f>
        <v>67</v>
      </c>
      <c r="H207" s="7" t="str">
        <f t="shared" si="3"/>
        <v>#67</v>
      </c>
      <c r="I207" s="9">
        <f>ROUND(AVERAGEIFS('Pick Values'!$B$2:$B$81,'Pick Values'!$A$2:$A$81,"&gt;="&amp;$F207,'Pick Values'!$A$2:$A$81,"&lt;="&amp;$G207),0)</f>
        <v>0</v>
      </c>
      <c r="J207" s="9">
        <f>IF($B207=2027,ROUND($I207*Ladder!$B$2,0),IF($B207=2028,ROUND($I207*Ladder!$B$3,0),$I207))</f>
        <v>0</v>
      </c>
    </row>
    <row r="208" spans="1:10" x14ac:dyDescent="0.3">
      <c r="A208" s="7">
        <v>206</v>
      </c>
      <c r="B208" s="7">
        <v>2028</v>
      </c>
      <c r="C208" s="7">
        <v>1</v>
      </c>
      <c r="D208" s="8" t="s">
        <v>22</v>
      </c>
      <c r="E208" s="15" t="s">
        <v>22</v>
      </c>
      <c r="F208" s="7">
        <f>INDEX(Ladder!$B$6:$G$21,MATCH($D208,Ladder!$A$6:$A$21,0),IF($B208=2026,1,IF($B208=2027,3,5)))+($C208-1)*16</f>
        <v>15</v>
      </c>
      <c r="G208" s="7">
        <f>INDEX(Ladder!$B$6:$G$21,MATCH($D208,Ladder!$A$6:$A$21,0),IF($B208=2026,2,IF($B208=2027,4,6)))+($C208-1)*16</f>
        <v>15</v>
      </c>
      <c r="H208" s="7" t="str">
        <f t="shared" si="3"/>
        <v>#15</v>
      </c>
      <c r="I208" s="9">
        <f>ROUND(AVERAGEIFS('Pick Values'!$B$2:$B$81,'Pick Values'!$A$2:$A$81,"&gt;="&amp;$F208,'Pick Values'!$A$2:$A$81,"&lt;="&amp;$G208),0)</f>
        <v>886</v>
      </c>
      <c r="J208" s="9">
        <f>IF($B208=2027,ROUND($I208*Ladder!$B$2,0),IF($B208=2028,ROUND($I208*Ladder!$B$3,0),$I208))</f>
        <v>709</v>
      </c>
    </row>
    <row r="209" spans="1:10" x14ac:dyDescent="0.3">
      <c r="A209" s="7">
        <v>207</v>
      </c>
      <c r="B209" s="7">
        <v>2028</v>
      </c>
      <c r="C209" s="7">
        <v>2</v>
      </c>
      <c r="D209" s="8" t="s">
        <v>22</v>
      </c>
      <c r="E209" s="15" t="s">
        <v>22</v>
      </c>
      <c r="F209" s="7">
        <f>INDEX(Ladder!$B$6:$G$21,MATCH($D209,Ladder!$A$6:$A$21,0),IF($B209=2026,1,IF($B209=2027,3,5)))+($C209-1)*16</f>
        <v>31</v>
      </c>
      <c r="G209" s="7">
        <f>INDEX(Ladder!$B$6:$G$21,MATCH($D209,Ladder!$A$6:$A$21,0),IF($B209=2026,2,IF($B209=2027,4,6)))+($C209-1)*16</f>
        <v>31</v>
      </c>
      <c r="H209" s="7" t="str">
        <f t="shared" si="3"/>
        <v>#31</v>
      </c>
      <c r="I209" s="9">
        <f>ROUND(AVERAGEIFS('Pick Values'!$B$2:$B$81,'Pick Values'!$A$2:$A$81,"&gt;="&amp;$F209,'Pick Values'!$A$2:$A$81,"&lt;="&amp;$G209),0)</f>
        <v>586</v>
      </c>
      <c r="J209" s="9">
        <f>IF($B209=2027,ROUND($I209*Ladder!$B$2,0),IF($B209=2028,ROUND($I209*Ladder!$B$3,0),$I209))</f>
        <v>469</v>
      </c>
    </row>
    <row r="210" spans="1:10" x14ac:dyDescent="0.3">
      <c r="A210" s="7">
        <v>208</v>
      </c>
      <c r="B210" s="7">
        <v>2028</v>
      </c>
      <c r="C210" s="7">
        <v>3</v>
      </c>
      <c r="D210" s="8" t="s">
        <v>22</v>
      </c>
      <c r="E210" s="15" t="s">
        <v>22</v>
      </c>
      <c r="F210" s="7">
        <f>INDEX(Ladder!$B$6:$G$21,MATCH($D210,Ladder!$A$6:$A$21,0),IF($B210=2026,1,IF($B210=2027,3,5)))+($C210-1)*16</f>
        <v>47</v>
      </c>
      <c r="G210" s="7">
        <f>INDEX(Ladder!$B$6:$G$21,MATCH($D210,Ladder!$A$6:$A$21,0),IF($B210=2026,2,IF($B210=2027,4,6)))+($C210-1)*16</f>
        <v>47</v>
      </c>
      <c r="H210" s="7" t="str">
        <f t="shared" si="3"/>
        <v>#47</v>
      </c>
      <c r="I210" s="9">
        <f>ROUND(AVERAGEIFS('Pick Values'!$B$2:$B$81,'Pick Values'!$A$2:$A$81,"&gt;="&amp;$F210,'Pick Values'!$A$2:$A$81,"&lt;="&amp;$G210),0)</f>
        <v>318</v>
      </c>
      <c r="J210" s="9">
        <f>IF($B210=2027,ROUND($I210*Ladder!$B$2,0),IF($B210=2028,ROUND($I210*Ladder!$B$3,0),$I210))</f>
        <v>254</v>
      </c>
    </row>
    <row r="211" spans="1:10" x14ac:dyDescent="0.3">
      <c r="A211" s="7">
        <v>209</v>
      </c>
      <c r="B211" s="7">
        <v>2028</v>
      </c>
      <c r="C211" s="7">
        <v>4</v>
      </c>
      <c r="D211" s="8" t="s">
        <v>22</v>
      </c>
      <c r="E211" s="15" t="s">
        <v>22</v>
      </c>
      <c r="F211" s="7">
        <f>INDEX(Ladder!$B$6:$G$21,MATCH($D211,Ladder!$A$6:$A$21,0),IF($B211=2026,1,IF($B211=2027,3,5)))+($C211-1)*16</f>
        <v>63</v>
      </c>
      <c r="G211" s="7">
        <f>INDEX(Ladder!$B$6:$G$21,MATCH($D211,Ladder!$A$6:$A$21,0),IF($B211=2026,2,IF($B211=2027,4,6)))+($C211-1)*16</f>
        <v>63</v>
      </c>
      <c r="H211" s="7" t="str">
        <f t="shared" si="3"/>
        <v>#63</v>
      </c>
      <c r="I211" s="9">
        <f>ROUND(AVERAGEIFS('Pick Values'!$B$2:$B$81,'Pick Values'!$A$2:$A$81,"&gt;="&amp;$F211,'Pick Values'!$A$2:$A$81,"&lt;="&amp;$G211),0)</f>
        <v>180</v>
      </c>
      <c r="J211" s="9">
        <f>IF($B211=2027,ROUND($I211*Ladder!$B$2,0),IF($B211=2028,ROUND($I211*Ladder!$B$3,0),$I211))</f>
        <v>144</v>
      </c>
    </row>
    <row r="212" spans="1:10" x14ac:dyDescent="0.3">
      <c r="A212" s="7">
        <v>210</v>
      </c>
      <c r="B212" s="7">
        <v>2028</v>
      </c>
      <c r="C212" s="7">
        <v>5</v>
      </c>
      <c r="D212" s="8" t="s">
        <v>22</v>
      </c>
      <c r="E212" s="15" t="s">
        <v>22</v>
      </c>
      <c r="F212" s="7">
        <f>INDEX(Ladder!$B$6:$G$21,MATCH($D212,Ladder!$A$6:$A$21,0),IF($B212=2026,1,IF($B212=2027,3,5)))+($C212-1)*16</f>
        <v>79</v>
      </c>
      <c r="G212" s="7">
        <f>INDEX(Ladder!$B$6:$G$21,MATCH($D212,Ladder!$A$6:$A$21,0),IF($B212=2026,2,IF($B212=2027,4,6)))+($C212-1)*16</f>
        <v>79</v>
      </c>
      <c r="H212" s="7" t="str">
        <f t="shared" si="3"/>
        <v>#79</v>
      </c>
      <c r="I212" s="9">
        <f>ROUND(AVERAGEIFS('Pick Values'!$B$2:$B$81,'Pick Values'!$A$2:$A$81,"&gt;="&amp;$F212,'Pick Values'!$A$2:$A$81,"&lt;="&amp;$G212),0)</f>
        <v>0</v>
      </c>
      <c r="J212" s="9">
        <f>IF($B212=2027,ROUND($I212*Ladder!$B$2,0),IF($B212=2028,ROUND($I212*Ladder!$B$3,0),$I212))</f>
        <v>0</v>
      </c>
    </row>
    <row r="213" spans="1:10" x14ac:dyDescent="0.3">
      <c r="A213" s="7">
        <v>211</v>
      </c>
      <c r="B213" s="7">
        <v>2028</v>
      </c>
      <c r="C213" s="7">
        <v>1</v>
      </c>
      <c r="D213" s="8" t="s">
        <v>23</v>
      </c>
      <c r="E213" s="15" t="s">
        <v>23</v>
      </c>
      <c r="F213" s="7">
        <f>INDEX(Ladder!$B$6:$G$21,MATCH($D213,Ladder!$A$6:$A$21,0),IF($B213=2026,1,IF($B213=2027,3,5)))+($C213-1)*16</f>
        <v>11</v>
      </c>
      <c r="G213" s="7">
        <f>INDEX(Ladder!$B$6:$G$21,MATCH($D213,Ladder!$A$6:$A$21,0),IF($B213=2026,2,IF($B213=2027,4,6)))+($C213-1)*16</f>
        <v>11</v>
      </c>
      <c r="H213" s="7" t="str">
        <f t="shared" si="3"/>
        <v>#11</v>
      </c>
      <c r="I213" s="9">
        <f>ROUND(AVERAGEIFS('Pick Values'!$B$2:$B$81,'Pick Values'!$A$2:$A$81,"&gt;="&amp;$F213,'Pick Values'!$A$2:$A$81,"&lt;="&amp;$G213),0)</f>
        <v>1296</v>
      </c>
      <c r="J213" s="9">
        <f>IF($B213=2027,ROUND($I213*Ladder!$B$2,0),IF($B213=2028,ROUND($I213*Ladder!$B$3,0),$I213))</f>
        <v>1037</v>
      </c>
    </row>
    <row r="214" spans="1:10" x14ac:dyDescent="0.3">
      <c r="A214" s="7">
        <v>212</v>
      </c>
      <c r="B214" s="7">
        <v>2028</v>
      </c>
      <c r="C214" s="7">
        <v>2</v>
      </c>
      <c r="D214" s="8" t="s">
        <v>23</v>
      </c>
      <c r="E214" s="15" t="s">
        <v>23</v>
      </c>
      <c r="F214" s="7">
        <f>INDEX(Ladder!$B$6:$G$21,MATCH($D214,Ladder!$A$6:$A$21,0),IF($B214=2026,1,IF($B214=2027,3,5)))+($C214-1)*16</f>
        <v>27</v>
      </c>
      <c r="G214" s="7">
        <f>INDEX(Ladder!$B$6:$G$21,MATCH($D214,Ladder!$A$6:$A$21,0),IF($B214=2026,2,IF($B214=2027,4,6)))+($C214-1)*16</f>
        <v>27</v>
      </c>
      <c r="H214" s="7" t="str">
        <f t="shared" si="3"/>
        <v>#27</v>
      </c>
      <c r="I214" s="9">
        <f>ROUND(AVERAGEIFS('Pick Values'!$B$2:$B$81,'Pick Values'!$A$2:$A$81,"&gt;="&amp;$F214,'Pick Values'!$A$2:$A$81,"&lt;="&amp;$G214),0)</f>
        <v>642</v>
      </c>
      <c r="J214" s="9">
        <f>IF($B214=2027,ROUND($I214*Ladder!$B$2,0),IF($B214=2028,ROUND($I214*Ladder!$B$3,0),$I214))</f>
        <v>514</v>
      </c>
    </row>
    <row r="215" spans="1:10" x14ac:dyDescent="0.3">
      <c r="A215" s="7">
        <v>213</v>
      </c>
      <c r="B215" s="7">
        <v>2028</v>
      </c>
      <c r="C215" s="7">
        <v>3</v>
      </c>
      <c r="D215" s="8" t="s">
        <v>23</v>
      </c>
      <c r="E215" s="15" t="s">
        <v>23</v>
      </c>
      <c r="F215" s="7">
        <f>INDEX(Ladder!$B$6:$G$21,MATCH($D215,Ladder!$A$6:$A$21,0),IF($B215=2026,1,IF($B215=2027,3,5)))+($C215-1)*16</f>
        <v>43</v>
      </c>
      <c r="G215" s="7">
        <f>INDEX(Ladder!$B$6:$G$21,MATCH($D215,Ladder!$A$6:$A$21,0),IF($B215=2026,2,IF($B215=2027,4,6)))+($C215-1)*16</f>
        <v>43</v>
      </c>
      <c r="H215" s="7" t="str">
        <f t="shared" si="3"/>
        <v>#43</v>
      </c>
      <c r="I215" s="9">
        <f>ROUND(AVERAGEIFS('Pick Values'!$B$2:$B$81,'Pick Values'!$A$2:$A$81,"&gt;="&amp;$F215,'Pick Values'!$A$2:$A$81,"&lt;="&amp;$G215),0)</f>
        <v>408</v>
      </c>
      <c r="J215" s="9">
        <f>IF($B215=2027,ROUND($I215*Ladder!$B$2,0),IF($B215=2028,ROUND($I215*Ladder!$B$3,0),$I215))</f>
        <v>326</v>
      </c>
    </row>
    <row r="216" spans="1:10" x14ac:dyDescent="0.3">
      <c r="A216" s="7">
        <v>214</v>
      </c>
      <c r="B216" s="7">
        <v>2028</v>
      </c>
      <c r="C216" s="7">
        <v>4</v>
      </c>
      <c r="D216" s="8" t="s">
        <v>23</v>
      </c>
      <c r="E216" s="15" t="s">
        <v>23</v>
      </c>
      <c r="F216" s="7">
        <f>INDEX(Ladder!$B$6:$G$21,MATCH($D216,Ladder!$A$6:$A$21,0),IF($B216=2026,1,IF($B216=2027,3,5)))+($C216-1)*16</f>
        <v>59</v>
      </c>
      <c r="G216" s="7">
        <f>INDEX(Ladder!$B$6:$G$21,MATCH($D216,Ladder!$A$6:$A$21,0),IF($B216=2026,2,IF($B216=2027,4,6)))+($C216-1)*16</f>
        <v>59</v>
      </c>
      <c r="H216" s="7" t="str">
        <f t="shared" si="3"/>
        <v>#59</v>
      </c>
      <c r="I216" s="9">
        <f>ROUND(AVERAGEIFS('Pick Values'!$B$2:$B$81,'Pick Values'!$A$2:$A$81,"&gt;="&amp;$F216,'Pick Values'!$A$2:$A$81,"&lt;="&amp;$G216),0)</f>
        <v>196</v>
      </c>
      <c r="J216" s="9">
        <f>IF($B216=2027,ROUND($I216*Ladder!$B$2,0),IF($B216=2028,ROUND($I216*Ladder!$B$3,0),$I216))</f>
        <v>157</v>
      </c>
    </row>
    <row r="217" spans="1:10" x14ac:dyDescent="0.3">
      <c r="A217" s="7">
        <v>215</v>
      </c>
      <c r="B217" s="7">
        <v>2028</v>
      </c>
      <c r="C217" s="7">
        <v>5</v>
      </c>
      <c r="D217" s="8" t="s">
        <v>23</v>
      </c>
      <c r="E217" s="15" t="s">
        <v>23</v>
      </c>
      <c r="F217" s="7">
        <f>INDEX(Ladder!$B$6:$G$21,MATCH($D217,Ladder!$A$6:$A$21,0),IF($B217=2026,1,IF($B217=2027,3,5)))+($C217-1)*16</f>
        <v>75</v>
      </c>
      <c r="G217" s="7">
        <f>INDEX(Ladder!$B$6:$G$21,MATCH($D217,Ladder!$A$6:$A$21,0),IF($B217=2026,2,IF($B217=2027,4,6)))+($C217-1)*16</f>
        <v>75</v>
      </c>
      <c r="H217" s="7" t="str">
        <f t="shared" si="3"/>
        <v>#75</v>
      </c>
      <c r="I217" s="9">
        <f>ROUND(AVERAGEIFS('Pick Values'!$B$2:$B$81,'Pick Values'!$A$2:$A$81,"&gt;="&amp;$F217,'Pick Values'!$A$2:$A$81,"&lt;="&amp;$G217),0)</f>
        <v>0</v>
      </c>
      <c r="J217" s="9">
        <f>IF($B217=2027,ROUND($I217*Ladder!$B$2,0),IF($B217=2028,ROUND($I217*Ladder!$B$3,0),$I217))</f>
        <v>0</v>
      </c>
    </row>
    <row r="218" spans="1:10" x14ac:dyDescent="0.3">
      <c r="A218" s="7">
        <v>216</v>
      </c>
      <c r="B218" s="7">
        <v>2028</v>
      </c>
      <c r="C218" s="7">
        <v>1</v>
      </c>
      <c r="D218" s="8" t="s">
        <v>24</v>
      </c>
      <c r="E218" s="15" t="s">
        <v>24</v>
      </c>
      <c r="F218" s="7">
        <f>INDEX(Ladder!$B$6:$G$21,MATCH($D218,Ladder!$A$6:$A$21,0),IF($B218=2026,1,IF($B218=2027,3,5)))+($C218-1)*16</f>
        <v>6</v>
      </c>
      <c r="G218" s="7">
        <f>INDEX(Ladder!$B$6:$G$21,MATCH($D218,Ladder!$A$6:$A$21,0),IF($B218=2026,2,IF($B218=2027,4,6)))+($C218-1)*16</f>
        <v>6</v>
      </c>
      <c r="H218" s="7" t="str">
        <f t="shared" si="3"/>
        <v>#6</v>
      </c>
      <c r="I218" s="9">
        <f>ROUND(AVERAGEIFS('Pick Values'!$B$2:$B$81,'Pick Values'!$A$2:$A$81,"&gt;="&amp;$F218,'Pick Values'!$A$2:$A$81,"&lt;="&amp;$G218),0)</f>
        <v>1572</v>
      </c>
      <c r="J218" s="9">
        <f>IF($B218=2027,ROUND($I218*Ladder!$B$2,0),IF($B218=2028,ROUND($I218*Ladder!$B$3,0),$I218))</f>
        <v>1258</v>
      </c>
    </row>
    <row r="219" spans="1:10" x14ac:dyDescent="0.3">
      <c r="A219" s="7">
        <v>217</v>
      </c>
      <c r="B219" s="7">
        <v>2028</v>
      </c>
      <c r="C219" s="7">
        <v>2</v>
      </c>
      <c r="D219" s="8" t="s">
        <v>24</v>
      </c>
      <c r="E219" s="15" t="s">
        <v>24</v>
      </c>
      <c r="F219" s="7">
        <f>INDEX(Ladder!$B$6:$G$21,MATCH($D219,Ladder!$A$6:$A$21,0),IF($B219=2026,1,IF($B219=2027,3,5)))+($C219-1)*16</f>
        <v>22</v>
      </c>
      <c r="G219" s="7">
        <f>INDEX(Ladder!$B$6:$G$21,MATCH($D219,Ladder!$A$6:$A$21,0),IF($B219=2026,2,IF($B219=2027,4,6)))+($C219-1)*16</f>
        <v>22</v>
      </c>
      <c r="H219" s="7" t="str">
        <f t="shared" si="3"/>
        <v>#22</v>
      </c>
      <c r="I219" s="9">
        <f>ROUND(AVERAGEIFS('Pick Values'!$B$2:$B$81,'Pick Values'!$A$2:$A$81,"&gt;="&amp;$F219,'Pick Values'!$A$2:$A$81,"&lt;="&amp;$G219),0)</f>
        <v>774</v>
      </c>
      <c r="J219" s="9">
        <f>IF($B219=2027,ROUND($I219*Ladder!$B$2,0),IF($B219=2028,ROUND($I219*Ladder!$B$3,0),$I219))</f>
        <v>619</v>
      </c>
    </row>
    <row r="220" spans="1:10" x14ac:dyDescent="0.3">
      <c r="A220" s="7">
        <v>218</v>
      </c>
      <c r="B220" s="7">
        <v>2028</v>
      </c>
      <c r="C220" s="7">
        <v>3</v>
      </c>
      <c r="D220" s="8" t="s">
        <v>24</v>
      </c>
      <c r="E220" s="15" t="s">
        <v>24</v>
      </c>
      <c r="F220" s="7">
        <f>INDEX(Ladder!$B$6:$G$21,MATCH($D220,Ladder!$A$6:$A$21,0),IF($B220=2026,1,IF($B220=2027,3,5)))+($C220-1)*16</f>
        <v>38</v>
      </c>
      <c r="G220" s="7">
        <f>INDEX(Ladder!$B$6:$G$21,MATCH($D220,Ladder!$A$6:$A$21,0),IF($B220=2026,2,IF($B220=2027,4,6)))+($C220-1)*16</f>
        <v>38</v>
      </c>
      <c r="H220" s="7" t="str">
        <f t="shared" si="3"/>
        <v>#38</v>
      </c>
      <c r="I220" s="9">
        <f>ROUND(AVERAGEIFS('Pick Values'!$B$2:$B$81,'Pick Values'!$A$2:$A$81,"&gt;="&amp;$F220,'Pick Values'!$A$2:$A$81,"&lt;="&amp;$G220),0)</f>
        <v>502</v>
      </c>
      <c r="J220" s="9">
        <f>IF($B220=2027,ROUND($I220*Ladder!$B$2,0),IF($B220=2028,ROUND($I220*Ladder!$B$3,0),$I220))</f>
        <v>402</v>
      </c>
    </row>
    <row r="221" spans="1:10" x14ac:dyDescent="0.3">
      <c r="A221" s="7">
        <v>219</v>
      </c>
      <c r="B221" s="7">
        <v>2028</v>
      </c>
      <c r="C221" s="7">
        <v>4</v>
      </c>
      <c r="D221" s="8" t="s">
        <v>24</v>
      </c>
      <c r="E221" s="15" t="s">
        <v>24</v>
      </c>
      <c r="F221" s="7">
        <f>INDEX(Ladder!$B$6:$G$21,MATCH($D221,Ladder!$A$6:$A$21,0),IF($B221=2026,1,IF($B221=2027,3,5)))+($C221-1)*16</f>
        <v>54</v>
      </c>
      <c r="G221" s="7">
        <f>INDEX(Ladder!$B$6:$G$21,MATCH($D221,Ladder!$A$6:$A$21,0),IF($B221=2026,2,IF($B221=2027,4,6)))+($C221-1)*16</f>
        <v>54</v>
      </c>
      <c r="H221" s="7" t="str">
        <f t="shared" si="3"/>
        <v>#54</v>
      </c>
      <c r="I221" s="9">
        <f>ROUND(AVERAGEIFS('Pick Values'!$B$2:$B$81,'Pick Values'!$A$2:$A$81,"&gt;="&amp;$F221,'Pick Values'!$A$2:$A$81,"&lt;="&amp;$G221),0)</f>
        <v>240</v>
      </c>
      <c r="J221" s="9">
        <f>IF($B221=2027,ROUND($I221*Ladder!$B$2,0),IF($B221=2028,ROUND($I221*Ladder!$B$3,0),$I221))</f>
        <v>192</v>
      </c>
    </row>
    <row r="222" spans="1:10" x14ac:dyDescent="0.3">
      <c r="A222" s="7">
        <v>220</v>
      </c>
      <c r="B222" s="7">
        <v>2028</v>
      </c>
      <c r="C222" s="7">
        <v>5</v>
      </c>
      <c r="D222" s="8" t="s">
        <v>24</v>
      </c>
      <c r="E222" s="15" t="s">
        <v>24</v>
      </c>
      <c r="F222" s="7">
        <f>INDEX(Ladder!$B$6:$G$21,MATCH($D222,Ladder!$A$6:$A$21,0),IF($B222=2026,1,IF($B222=2027,3,5)))+($C222-1)*16</f>
        <v>70</v>
      </c>
      <c r="G222" s="7">
        <f>INDEX(Ladder!$B$6:$G$21,MATCH($D222,Ladder!$A$6:$A$21,0),IF($B222=2026,2,IF($B222=2027,4,6)))+($C222-1)*16</f>
        <v>70</v>
      </c>
      <c r="H222" s="7" t="str">
        <f t="shared" si="3"/>
        <v>#70</v>
      </c>
      <c r="I222" s="9">
        <f>ROUND(AVERAGEIFS('Pick Values'!$B$2:$B$81,'Pick Values'!$A$2:$A$81,"&gt;="&amp;$F222,'Pick Values'!$A$2:$A$81,"&lt;="&amp;$G222),0)</f>
        <v>0</v>
      </c>
      <c r="J222" s="9">
        <f>IF($B222=2027,ROUND($I222*Ladder!$B$2,0),IF($B222=2028,ROUND($I222*Ladder!$B$3,0),$I222))</f>
        <v>0</v>
      </c>
    </row>
    <row r="223" spans="1:10" x14ac:dyDescent="0.3">
      <c r="A223" s="7">
        <v>221</v>
      </c>
      <c r="B223" s="7">
        <v>2028</v>
      </c>
      <c r="C223" s="7">
        <v>1</v>
      </c>
      <c r="D223" s="8" t="s">
        <v>25</v>
      </c>
      <c r="E223" s="15" t="s">
        <v>25</v>
      </c>
      <c r="F223" s="7">
        <f>INDEX(Ladder!$B$6:$G$21,MATCH($D223,Ladder!$A$6:$A$21,0),IF($B223=2026,1,IF($B223=2027,3,5)))+($C223-1)*16</f>
        <v>12</v>
      </c>
      <c r="G223" s="7">
        <f>INDEX(Ladder!$B$6:$G$21,MATCH($D223,Ladder!$A$6:$A$21,0),IF($B223=2026,2,IF($B223=2027,4,6)))+($C223-1)*16</f>
        <v>12</v>
      </c>
      <c r="H223" s="7" t="str">
        <f t="shared" si="3"/>
        <v>#12</v>
      </c>
      <c r="I223" s="9">
        <f>ROUND(AVERAGEIFS('Pick Values'!$B$2:$B$81,'Pick Values'!$A$2:$A$81,"&gt;="&amp;$F223,'Pick Values'!$A$2:$A$81,"&lt;="&amp;$G223),0)</f>
        <v>1232</v>
      </c>
      <c r="J223" s="9">
        <f>IF($B223=2027,ROUND($I223*Ladder!$B$2,0),IF($B223=2028,ROUND($I223*Ladder!$B$3,0),$I223))</f>
        <v>986</v>
      </c>
    </row>
    <row r="224" spans="1:10" x14ac:dyDescent="0.3">
      <c r="A224" s="7">
        <v>222</v>
      </c>
      <c r="B224" s="7">
        <v>2028</v>
      </c>
      <c r="C224" s="7">
        <v>2</v>
      </c>
      <c r="D224" s="8" t="s">
        <v>25</v>
      </c>
      <c r="E224" s="15" t="s">
        <v>25</v>
      </c>
      <c r="F224" s="7">
        <f>INDEX(Ladder!$B$6:$G$21,MATCH($D224,Ladder!$A$6:$A$21,0),IF($B224=2026,1,IF($B224=2027,3,5)))+($C224-1)*16</f>
        <v>28</v>
      </c>
      <c r="G224" s="7">
        <f>INDEX(Ladder!$B$6:$G$21,MATCH($D224,Ladder!$A$6:$A$21,0),IF($B224=2026,2,IF($B224=2027,4,6)))+($C224-1)*16</f>
        <v>28</v>
      </c>
      <c r="H224" s="7" t="str">
        <f t="shared" si="3"/>
        <v>#28</v>
      </c>
      <c r="I224" s="9">
        <f>ROUND(AVERAGEIFS('Pick Values'!$B$2:$B$81,'Pick Values'!$A$2:$A$81,"&gt;="&amp;$F224,'Pick Values'!$A$2:$A$81,"&lt;="&amp;$G224),0)</f>
        <v>629</v>
      </c>
      <c r="J224" s="9">
        <f>IF($B224=2027,ROUND($I224*Ladder!$B$2,0),IF($B224=2028,ROUND($I224*Ladder!$B$3,0),$I224))</f>
        <v>503</v>
      </c>
    </row>
    <row r="225" spans="1:10" x14ac:dyDescent="0.3">
      <c r="A225" s="7">
        <v>223</v>
      </c>
      <c r="B225" s="7">
        <v>2028</v>
      </c>
      <c r="C225" s="7">
        <v>3</v>
      </c>
      <c r="D225" s="8" t="s">
        <v>25</v>
      </c>
      <c r="E225" s="15" t="s">
        <v>25</v>
      </c>
      <c r="F225" s="7">
        <f>INDEX(Ladder!$B$6:$G$21,MATCH($D225,Ladder!$A$6:$A$21,0),IF($B225=2026,1,IF($B225=2027,3,5)))+($C225-1)*16</f>
        <v>44</v>
      </c>
      <c r="G225" s="7">
        <f>INDEX(Ladder!$B$6:$G$21,MATCH($D225,Ladder!$A$6:$A$21,0),IF($B225=2026,2,IF($B225=2027,4,6)))+($C225-1)*16</f>
        <v>44</v>
      </c>
      <c r="H225" s="7" t="str">
        <f t="shared" si="3"/>
        <v>#44</v>
      </c>
      <c r="I225" s="9">
        <f>ROUND(AVERAGEIFS('Pick Values'!$B$2:$B$81,'Pick Values'!$A$2:$A$81,"&gt;="&amp;$F225,'Pick Values'!$A$2:$A$81,"&lt;="&amp;$G225),0)</f>
        <v>384</v>
      </c>
      <c r="J225" s="9">
        <f>IF($B225=2027,ROUND($I225*Ladder!$B$2,0),IF($B225=2028,ROUND($I225*Ladder!$B$3,0),$I225))</f>
        <v>307</v>
      </c>
    </row>
    <row r="226" spans="1:10" x14ac:dyDescent="0.3">
      <c r="A226" s="7">
        <v>224</v>
      </c>
      <c r="B226" s="7">
        <v>2028</v>
      </c>
      <c r="C226" s="7">
        <v>4</v>
      </c>
      <c r="D226" s="8" t="s">
        <v>25</v>
      </c>
      <c r="E226" s="15" t="s">
        <v>25</v>
      </c>
      <c r="F226" s="7">
        <f>INDEX(Ladder!$B$6:$G$21,MATCH($D226,Ladder!$A$6:$A$21,0),IF($B226=2026,1,IF($B226=2027,3,5)))+($C226-1)*16</f>
        <v>60</v>
      </c>
      <c r="G226" s="7">
        <f>INDEX(Ladder!$B$6:$G$21,MATCH($D226,Ladder!$A$6:$A$21,0),IF($B226=2026,2,IF($B226=2027,4,6)))+($C226-1)*16</f>
        <v>60</v>
      </c>
      <c r="H226" s="7" t="str">
        <f t="shared" si="3"/>
        <v>#60</v>
      </c>
      <c r="I226" s="9">
        <f>ROUND(AVERAGEIFS('Pick Values'!$B$2:$B$81,'Pick Values'!$A$2:$A$81,"&gt;="&amp;$F226,'Pick Values'!$A$2:$A$81,"&lt;="&amp;$G226),0)</f>
        <v>190</v>
      </c>
      <c r="J226" s="9">
        <f>IF($B226=2027,ROUND($I226*Ladder!$B$2,0),IF($B226=2028,ROUND($I226*Ladder!$B$3,0),$I226))</f>
        <v>152</v>
      </c>
    </row>
    <row r="227" spans="1:10" x14ac:dyDescent="0.3">
      <c r="A227" s="7">
        <v>225</v>
      </c>
      <c r="B227" s="7">
        <v>2028</v>
      </c>
      <c r="C227" s="7">
        <v>5</v>
      </c>
      <c r="D227" s="8" t="s">
        <v>25</v>
      </c>
      <c r="E227" s="15" t="s">
        <v>25</v>
      </c>
      <c r="F227" s="7">
        <f>INDEX(Ladder!$B$6:$G$21,MATCH($D227,Ladder!$A$6:$A$21,0),IF($B227=2026,1,IF($B227=2027,3,5)))+($C227-1)*16</f>
        <v>76</v>
      </c>
      <c r="G227" s="7">
        <f>INDEX(Ladder!$B$6:$G$21,MATCH($D227,Ladder!$A$6:$A$21,0),IF($B227=2026,2,IF($B227=2027,4,6)))+($C227-1)*16</f>
        <v>76</v>
      </c>
      <c r="H227" s="7" t="str">
        <f t="shared" si="3"/>
        <v>#76</v>
      </c>
      <c r="I227" s="9">
        <f>ROUND(AVERAGEIFS('Pick Values'!$B$2:$B$81,'Pick Values'!$A$2:$A$81,"&gt;="&amp;$F227,'Pick Values'!$A$2:$A$81,"&lt;="&amp;$G227),0)</f>
        <v>0</v>
      </c>
      <c r="J227" s="9">
        <f>IF($B227=2027,ROUND($I227*Ladder!$B$2,0),IF($B227=2028,ROUND($I227*Ladder!$B$3,0),$I227))</f>
        <v>0</v>
      </c>
    </row>
    <row r="228" spans="1:10" x14ac:dyDescent="0.3">
      <c r="A228" s="7">
        <v>226</v>
      </c>
      <c r="B228" s="7">
        <v>2028</v>
      </c>
      <c r="C228" s="7">
        <v>1</v>
      </c>
      <c r="D228" s="8" t="s">
        <v>26</v>
      </c>
      <c r="E228" s="15" t="s">
        <v>26</v>
      </c>
      <c r="F228" s="7">
        <f>INDEX(Ladder!$B$6:$G$21,MATCH($D228,Ladder!$A$6:$A$21,0),IF($B228=2026,1,IF($B228=2027,3,5)))+($C228-1)*16</f>
        <v>14</v>
      </c>
      <c r="G228" s="7">
        <f>INDEX(Ladder!$B$6:$G$21,MATCH($D228,Ladder!$A$6:$A$21,0),IF($B228=2026,2,IF($B228=2027,4,6)))+($C228-1)*16</f>
        <v>14</v>
      </c>
      <c r="H228" s="7" t="str">
        <f t="shared" si="3"/>
        <v>#14</v>
      </c>
      <c r="I228" s="9">
        <f>ROUND(AVERAGEIFS('Pick Values'!$B$2:$B$81,'Pick Values'!$A$2:$A$81,"&gt;="&amp;$F228,'Pick Values'!$A$2:$A$81,"&lt;="&amp;$G228),0)</f>
        <v>1002</v>
      </c>
      <c r="J228" s="9">
        <f>IF($B228=2027,ROUND($I228*Ladder!$B$2,0),IF($B228=2028,ROUND($I228*Ladder!$B$3,0),$I228))</f>
        <v>802</v>
      </c>
    </row>
    <row r="229" spans="1:10" x14ac:dyDescent="0.3">
      <c r="A229" s="7">
        <v>227</v>
      </c>
      <c r="B229" s="7">
        <v>2028</v>
      </c>
      <c r="C229" s="7">
        <v>2</v>
      </c>
      <c r="D229" s="8" t="s">
        <v>26</v>
      </c>
      <c r="E229" s="15" t="s">
        <v>26</v>
      </c>
      <c r="F229" s="7">
        <f>INDEX(Ladder!$B$6:$G$21,MATCH($D229,Ladder!$A$6:$A$21,0),IF($B229=2026,1,IF($B229=2027,3,5)))+($C229-1)*16</f>
        <v>30</v>
      </c>
      <c r="G229" s="7">
        <f>INDEX(Ladder!$B$6:$G$21,MATCH($D229,Ladder!$A$6:$A$21,0),IF($B229=2026,2,IF($B229=2027,4,6)))+($C229-1)*16</f>
        <v>30</v>
      </c>
      <c r="H229" s="7" t="str">
        <f t="shared" si="3"/>
        <v>#30</v>
      </c>
      <c r="I229" s="9">
        <f>ROUND(AVERAGEIFS('Pick Values'!$B$2:$B$81,'Pick Values'!$A$2:$A$81,"&gt;="&amp;$F229,'Pick Values'!$A$2:$A$81,"&lt;="&amp;$G229),0)</f>
        <v>601</v>
      </c>
      <c r="J229" s="9">
        <f>IF($B229=2027,ROUND($I229*Ladder!$B$2,0),IF($B229=2028,ROUND($I229*Ladder!$B$3,0),$I229))</f>
        <v>481</v>
      </c>
    </row>
    <row r="230" spans="1:10" x14ac:dyDescent="0.3">
      <c r="A230" s="7">
        <v>228</v>
      </c>
      <c r="B230" s="7">
        <v>2028</v>
      </c>
      <c r="C230" s="7">
        <v>3</v>
      </c>
      <c r="D230" s="8" t="s">
        <v>26</v>
      </c>
      <c r="E230" s="15" t="s">
        <v>26</v>
      </c>
      <c r="F230" s="7">
        <f>INDEX(Ladder!$B$6:$G$21,MATCH($D230,Ladder!$A$6:$A$21,0),IF($B230=2026,1,IF($B230=2027,3,5)))+($C230-1)*16</f>
        <v>46</v>
      </c>
      <c r="G230" s="7">
        <f>INDEX(Ladder!$B$6:$G$21,MATCH($D230,Ladder!$A$6:$A$21,0),IF($B230=2026,2,IF($B230=2027,4,6)))+($C230-1)*16</f>
        <v>46</v>
      </c>
      <c r="H230" s="7" t="str">
        <f t="shared" si="3"/>
        <v>#46</v>
      </c>
      <c r="I230" s="9">
        <f>ROUND(AVERAGEIFS('Pick Values'!$B$2:$B$81,'Pick Values'!$A$2:$A$81,"&gt;="&amp;$F230,'Pick Values'!$A$2:$A$81,"&lt;="&amp;$G230),0)</f>
        <v>338</v>
      </c>
      <c r="J230" s="9">
        <f>IF($B230=2027,ROUND($I230*Ladder!$B$2,0),IF($B230=2028,ROUND($I230*Ladder!$B$3,0),$I230))</f>
        <v>270</v>
      </c>
    </row>
    <row r="231" spans="1:10" x14ac:dyDescent="0.3">
      <c r="A231" s="7">
        <v>229</v>
      </c>
      <c r="B231" s="7">
        <v>2028</v>
      </c>
      <c r="C231" s="7">
        <v>4</v>
      </c>
      <c r="D231" s="8" t="s">
        <v>26</v>
      </c>
      <c r="E231" s="15" t="s">
        <v>26</v>
      </c>
      <c r="F231" s="7">
        <f>INDEX(Ladder!$B$6:$G$21,MATCH($D231,Ladder!$A$6:$A$21,0),IF($B231=2026,1,IF($B231=2027,3,5)))+($C231-1)*16</f>
        <v>62</v>
      </c>
      <c r="G231" s="7">
        <f>INDEX(Ladder!$B$6:$G$21,MATCH($D231,Ladder!$A$6:$A$21,0),IF($B231=2026,2,IF($B231=2027,4,6)))+($C231-1)*16</f>
        <v>62</v>
      </c>
      <c r="H231" s="7" t="str">
        <f t="shared" si="3"/>
        <v>#62</v>
      </c>
      <c r="I231" s="9">
        <f>ROUND(AVERAGEIFS('Pick Values'!$B$2:$B$81,'Pick Values'!$A$2:$A$81,"&gt;="&amp;$F231,'Pick Values'!$A$2:$A$81,"&lt;="&amp;$G231),0)</f>
        <v>182</v>
      </c>
      <c r="J231" s="9">
        <f>IF($B231=2027,ROUND($I231*Ladder!$B$2,0),IF($B231=2028,ROUND($I231*Ladder!$B$3,0),$I231))</f>
        <v>146</v>
      </c>
    </row>
    <row r="232" spans="1:10" x14ac:dyDescent="0.3">
      <c r="A232" s="7">
        <v>230</v>
      </c>
      <c r="B232" s="7">
        <v>2028</v>
      </c>
      <c r="C232" s="7">
        <v>5</v>
      </c>
      <c r="D232" s="8" t="s">
        <v>26</v>
      </c>
      <c r="E232" s="15" t="s">
        <v>26</v>
      </c>
      <c r="F232" s="7">
        <f>INDEX(Ladder!$B$6:$G$21,MATCH($D232,Ladder!$A$6:$A$21,0),IF($B232=2026,1,IF($B232=2027,3,5)))+($C232-1)*16</f>
        <v>78</v>
      </c>
      <c r="G232" s="7">
        <f>INDEX(Ladder!$B$6:$G$21,MATCH($D232,Ladder!$A$6:$A$21,0),IF($B232=2026,2,IF($B232=2027,4,6)))+($C232-1)*16</f>
        <v>78</v>
      </c>
      <c r="H232" s="7" t="str">
        <f t="shared" si="3"/>
        <v>#78</v>
      </c>
      <c r="I232" s="9">
        <f>ROUND(AVERAGEIFS('Pick Values'!$B$2:$B$81,'Pick Values'!$A$2:$A$81,"&gt;="&amp;$F232,'Pick Values'!$A$2:$A$81,"&lt;="&amp;$G232),0)</f>
        <v>0</v>
      </c>
      <c r="J232" s="9">
        <f>IF($B232=2027,ROUND($I232*Ladder!$B$2,0),IF($B232=2028,ROUND($I232*Ladder!$B$3,0),$I232))</f>
        <v>0</v>
      </c>
    </row>
    <row r="233" spans="1:10" x14ac:dyDescent="0.3">
      <c r="A233" s="7">
        <v>231</v>
      </c>
      <c r="B233" s="7">
        <v>2028</v>
      </c>
      <c r="C233" s="7">
        <v>1</v>
      </c>
      <c r="D233" s="8" t="s">
        <v>27</v>
      </c>
      <c r="E233" s="15" t="s">
        <v>27</v>
      </c>
      <c r="F233" s="7">
        <f>INDEX(Ladder!$B$6:$G$21,MATCH($D233,Ladder!$A$6:$A$21,0),IF($B233=2026,1,IF($B233=2027,3,5)))+($C233-1)*16</f>
        <v>16</v>
      </c>
      <c r="G233" s="7">
        <f>INDEX(Ladder!$B$6:$G$21,MATCH($D233,Ladder!$A$6:$A$21,0),IF($B233=2026,2,IF($B233=2027,4,6)))+($C233-1)*16</f>
        <v>16</v>
      </c>
      <c r="H233" s="7" t="str">
        <f t="shared" si="3"/>
        <v>#16</v>
      </c>
      <c r="I233" s="9">
        <f>ROUND(AVERAGEIFS('Pick Values'!$B$2:$B$81,'Pick Values'!$A$2:$A$81,"&gt;="&amp;$F233,'Pick Values'!$A$2:$A$81,"&lt;="&amp;$G233),0)</f>
        <v>814</v>
      </c>
      <c r="J233" s="9">
        <f>IF($B233=2027,ROUND($I233*Ladder!$B$2,0),IF($B233=2028,ROUND($I233*Ladder!$B$3,0),$I233))</f>
        <v>651</v>
      </c>
    </row>
    <row r="234" spans="1:10" x14ac:dyDescent="0.3">
      <c r="A234" s="7">
        <v>232</v>
      </c>
      <c r="B234" s="7">
        <v>2028</v>
      </c>
      <c r="C234" s="7">
        <v>2</v>
      </c>
      <c r="D234" s="8" t="s">
        <v>27</v>
      </c>
      <c r="E234" s="15" t="s">
        <v>27</v>
      </c>
      <c r="F234" s="7">
        <f>INDEX(Ladder!$B$6:$G$21,MATCH($D234,Ladder!$A$6:$A$21,0),IF($B234=2026,1,IF($B234=2027,3,5)))+($C234-1)*16</f>
        <v>32</v>
      </c>
      <c r="G234" s="7">
        <f>INDEX(Ladder!$B$6:$G$21,MATCH($D234,Ladder!$A$6:$A$21,0),IF($B234=2026,2,IF($B234=2027,4,6)))+($C234-1)*16</f>
        <v>32</v>
      </c>
      <c r="H234" s="7" t="str">
        <f t="shared" si="3"/>
        <v>#32</v>
      </c>
      <c r="I234" s="9">
        <f>ROUND(AVERAGEIFS('Pick Values'!$B$2:$B$81,'Pick Values'!$A$2:$A$81,"&gt;="&amp;$F234,'Pick Values'!$A$2:$A$81,"&lt;="&amp;$G234),0)</f>
        <v>571</v>
      </c>
      <c r="J234" s="9">
        <f>IF($B234=2027,ROUND($I234*Ladder!$B$2,0),IF($B234=2028,ROUND($I234*Ladder!$B$3,0),$I234))</f>
        <v>457</v>
      </c>
    </row>
    <row r="235" spans="1:10" x14ac:dyDescent="0.3">
      <c r="A235" s="7">
        <v>233</v>
      </c>
      <c r="B235" s="7">
        <v>2028</v>
      </c>
      <c r="C235" s="7">
        <v>3</v>
      </c>
      <c r="D235" s="8" t="s">
        <v>27</v>
      </c>
      <c r="E235" s="15" t="s">
        <v>20</v>
      </c>
      <c r="F235" s="7">
        <f>INDEX(Ladder!$B$6:$G$21,MATCH($D235,Ladder!$A$6:$A$21,0),IF($B235=2026,1,IF($B235=2027,3,5)))+($C235-1)*16</f>
        <v>48</v>
      </c>
      <c r="G235" s="7">
        <f>INDEX(Ladder!$B$6:$G$21,MATCH($D235,Ladder!$A$6:$A$21,0),IF($B235=2026,2,IF($B235=2027,4,6)))+($C235-1)*16</f>
        <v>48</v>
      </c>
      <c r="H235" s="7" t="str">
        <f t="shared" si="3"/>
        <v>#48</v>
      </c>
      <c r="I235" s="9">
        <f>ROUND(AVERAGEIFS('Pick Values'!$B$2:$B$81,'Pick Values'!$A$2:$A$81,"&gt;="&amp;$F235,'Pick Values'!$A$2:$A$81,"&lt;="&amp;$G235),0)</f>
        <v>300</v>
      </c>
      <c r="J235" s="9">
        <f>IF($B235=2027,ROUND($I235*Ladder!$B$2,0),IF($B235=2028,ROUND($I235*Ladder!$B$3,0),$I235))</f>
        <v>240</v>
      </c>
    </row>
    <row r="236" spans="1:10" x14ac:dyDescent="0.3">
      <c r="A236" s="7">
        <v>234</v>
      </c>
      <c r="B236" s="7">
        <v>2028</v>
      </c>
      <c r="C236" s="7">
        <v>4</v>
      </c>
      <c r="D236" s="8" t="s">
        <v>27</v>
      </c>
      <c r="E236" s="15" t="s">
        <v>27</v>
      </c>
      <c r="F236" s="7">
        <f>INDEX(Ladder!$B$6:$G$21,MATCH($D236,Ladder!$A$6:$A$21,0),IF($B236=2026,1,IF($B236=2027,3,5)))+($C236-1)*16</f>
        <v>64</v>
      </c>
      <c r="G236" s="7">
        <f>INDEX(Ladder!$B$6:$G$21,MATCH($D236,Ladder!$A$6:$A$21,0),IF($B236=2026,2,IF($B236=2027,4,6)))+($C236-1)*16</f>
        <v>64</v>
      </c>
      <c r="H236" s="7" t="str">
        <f t="shared" si="3"/>
        <v>#64</v>
      </c>
      <c r="I236" s="9">
        <f>ROUND(AVERAGEIFS('Pick Values'!$B$2:$B$81,'Pick Values'!$A$2:$A$81,"&gt;="&amp;$F236,'Pick Values'!$A$2:$A$81,"&lt;="&amp;$G236),0)</f>
        <v>178</v>
      </c>
      <c r="J236" s="9">
        <f>IF($B236=2027,ROUND($I236*Ladder!$B$2,0),IF($B236=2028,ROUND($I236*Ladder!$B$3,0),$I236))</f>
        <v>142</v>
      </c>
    </row>
    <row r="237" spans="1:10" x14ac:dyDescent="0.3">
      <c r="A237" s="7">
        <v>235</v>
      </c>
      <c r="B237" s="7">
        <v>2028</v>
      </c>
      <c r="C237" s="7">
        <v>5</v>
      </c>
      <c r="D237" s="8" t="s">
        <v>27</v>
      </c>
      <c r="E237" s="15" t="s">
        <v>13</v>
      </c>
      <c r="F237" s="7">
        <f>INDEX(Ladder!$B$6:$G$21,MATCH($D237,Ladder!$A$6:$A$21,0),IF($B237=2026,1,IF($B237=2027,3,5)))+($C237-1)*16</f>
        <v>80</v>
      </c>
      <c r="G237" s="7">
        <f>INDEX(Ladder!$B$6:$G$21,MATCH($D237,Ladder!$A$6:$A$21,0),IF($B237=2026,2,IF($B237=2027,4,6)))+($C237-1)*16</f>
        <v>80</v>
      </c>
      <c r="H237" s="7" t="str">
        <f t="shared" si="3"/>
        <v>#80</v>
      </c>
      <c r="I237" s="9">
        <f>ROUND(AVERAGEIFS('Pick Values'!$B$2:$B$81,'Pick Values'!$A$2:$A$81,"&gt;="&amp;$F237,'Pick Values'!$A$2:$A$81,"&lt;="&amp;$G237),0)</f>
        <v>0</v>
      </c>
      <c r="J237" s="9">
        <f>IF($B237=2027,ROUND($I237*Ladder!$B$2,0),IF($B237=2028,ROUND($I237*Ladder!$B$3,0),$I237))</f>
        <v>0</v>
      </c>
    </row>
    <row r="238" spans="1:10" x14ac:dyDescent="0.3">
      <c r="A238" s="7">
        <v>236</v>
      </c>
      <c r="B238" s="7">
        <v>2028</v>
      </c>
      <c r="C238" s="7">
        <v>1</v>
      </c>
      <c r="D238" s="8" t="s">
        <v>28</v>
      </c>
      <c r="E238" s="15" t="s">
        <v>28</v>
      </c>
      <c r="F238" s="7">
        <f>INDEX(Ladder!$B$6:$G$21,MATCH($D238,Ladder!$A$6:$A$21,0),IF($B238=2026,1,IF($B238=2027,3,5)))+($C238-1)*16</f>
        <v>5</v>
      </c>
      <c r="G238" s="7">
        <f>INDEX(Ladder!$B$6:$G$21,MATCH($D238,Ladder!$A$6:$A$21,0),IF($B238=2026,2,IF($B238=2027,4,6)))+($C238-1)*16</f>
        <v>5</v>
      </c>
      <c r="H238" s="7" t="str">
        <f t="shared" si="3"/>
        <v>#5</v>
      </c>
      <c r="I238" s="9">
        <f>ROUND(AVERAGEIFS('Pick Values'!$B$2:$B$81,'Pick Values'!$A$2:$A$81,"&gt;="&amp;$F238,'Pick Values'!$A$2:$A$81,"&lt;="&amp;$G238),0)</f>
        <v>1792</v>
      </c>
      <c r="J238" s="9">
        <f>IF($B238=2027,ROUND($I238*Ladder!$B$2,0),IF($B238=2028,ROUND($I238*Ladder!$B$3,0),$I238))</f>
        <v>1434</v>
      </c>
    </row>
    <row r="239" spans="1:10" x14ac:dyDescent="0.3">
      <c r="A239" s="7">
        <v>237</v>
      </c>
      <c r="B239" s="7">
        <v>2028</v>
      </c>
      <c r="C239" s="7">
        <v>2</v>
      </c>
      <c r="D239" s="8" t="s">
        <v>28</v>
      </c>
      <c r="E239" s="15" t="s">
        <v>28</v>
      </c>
      <c r="F239" s="7">
        <f>INDEX(Ladder!$B$6:$G$21,MATCH($D239,Ladder!$A$6:$A$21,0),IF($B239=2026,1,IF($B239=2027,3,5)))+($C239-1)*16</f>
        <v>21</v>
      </c>
      <c r="G239" s="7">
        <f>INDEX(Ladder!$B$6:$G$21,MATCH($D239,Ladder!$A$6:$A$21,0),IF($B239=2026,2,IF($B239=2027,4,6)))+($C239-1)*16</f>
        <v>21</v>
      </c>
      <c r="H239" s="7" t="str">
        <f t="shared" si="3"/>
        <v>#21</v>
      </c>
      <c r="I239" s="9">
        <f>ROUND(AVERAGEIFS('Pick Values'!$B$2:$B$81,'Pick Values'!$A$2:$A$81,"&gt;="&amp;$F239,'Pick Values'!$A$2:$A$81,"&lt;="&amp;$G239),0)</f>
        <v>805</v>
      </c>
      <c r="J239" s="9">
        <f>IF($B239=2027,ROUND($I239*Ladder!$B$2,0),IF($B239=2028,ROUND($I239*Ladder!$B$3,0),$I239))</f>
        <v>644</v>
      </c>
    </row>
    <row r="240" spans="1:10" x14ac:dyDescent="0.3">
      <c r="A240" s="7">
        <v>238</v>
      </c>
      <c r="B240" s="7">
        <v>2028</v>
      </c>
      <c r="C240" s="7">
        <v>3</v>
      </c>
      <c r="D240" s="8" t="s">
        <v>28</v>
      </c>
      <c r="E240" s="15" t="s">
        <v>28</v>
      </c>
      <c r="F240" s="7">
        <f>INDEX(Ladder!$B$6:$G$21,MATCH($D240,Ladder!$A$6:$A$21,0),IF($B240=2026,1,IF($B240=2027,3,5)))+($C240-1)*16</f>
        <v>37</v>
      </c>
      <c r="G240" s="7">
        <f>INDEX(Ladder!$B$6:$G$21,MATCH($D240,Ladder!$A$6:$A$21,0),IF($B240=2026,2,IF($B240=2027,4,6)))+($C240-1)*16</f>
        <v>37</v>
      </c>
      <c r="H240" s="7" t="str">
        <f t="shared" si="3"/>
        <v>#37</v>
      </c>
      <c r="I240" s="9">
        <f>ROUND(AVERAGEIFS('Pick Values'!$B$2:$B$81,'Pick Values'!$A$2:$A$81,"&gt;="&amp;$F240,'Pick Values'!$A$2:$A$81,"&lt;="&amp;$G240),0)</f>
        <v>514</v>
      </c>
      <c r="J240" s="9">
        <f>IF($B240=2027,ROUND($I240*Ladder!$B$2,0),IF($B240=2028,ROUND($I240*Ladder!$B$3,0),$I240))</f>
        <v>411</v>
      </c>
    </row>
    <row r="241" spans="1:10" x14ac:dyDescent="0.3">
      <c r="A241" s="7">
        <v>239</v>
      </c>
      <c r="B241" s="7">
        <v>2028</v>
      </c>
      <c r="C241" s="7">
        <v>4</v>
      </c>
      <c r="D241" s="8" t="s">
        <v>28</v>
      </c>
      <c r="E241" s="15" t="s">
        <v>28</v>
      </c>
      <c r="F241" s="7">
        <f>INDEX(Ladder!$B$6:$G$21,MATCH($D241,Ladder!$A$6:$A$21,0),IF($B241=2026,1,IF($B241=2027,3,5)))+($C241-1)*16</f>
        <v>53</v>
      </c>
      <c r="G241" s="7">
        <f>INDEX(Ladder!$B$6:$G$21,MATCH($D241,Ladder!$A$6:$A$21,0),IF($B241=2026,2,IF($B241=2027,4,6)))+($C241-1)*16</f>
        <v>53</v>
      </c>
      <c r="H241" s="7" t="str">
        <f t="shared" si="3"/>
        <v>#53</v>
      </c>
      <c r="I241" s="9">
        <f>ROUND(AVERAGEIFS('Pick Values'!$B$2:$B$81,'Pick Values'!$A$2:$A$81,"&gt;="&amp;$F241,'Pick Values'!$A$2:$A$81,"&lt;="&amp;$G241),0)</f>
        <v>248</v>
      </c>
      <c r="J241" s="9">
        <f>IF($B241=2027,ROUND($I241*Ladder!$B$2,0),IF($B241=2028,ROUND($I241*Ladder!$B$3,0),$I241))</f>
        <v>198</v>
      </c>
    </row>
    <row r="242" spans="1:10" x14ac:dyDescent="0.3">
      <c r="A242" s="7">
        <v>240</v>
      </c>
      <c r="B242" s="7">
        <v>2028</v>
      </c>
      <c r="C242" s="7">
        <v>5</v>
      </c>
      <c r="D242" s="8" t="s">
        <v>28</v>
      </c>
      <c r="E242" s="15" t="s">
        <v>28</v>
      </c>
      <c r="F242" s="7">
        <f>INDEX(Ladder!$B$6:$G$21,MATCH($D242,Ladder!$A$6:$A$21,0),IF($B242=2026,1,IF($B242=2027,3,5)))+($C242-1)*16</f>
        <v>69</v>
      </c>
      <c r="G242" s="7">
        <f>INDEX(Ladder!$B$6:$G$21,MATCH($D242,Ladder!$A$6:$A$21,0),IF($B242=2026,2,IF($B242=2027,4,6)))+($C242-1)*16</f>
        <v>69</v>
      </c>
      <c r="H242" s="7" t="str">
        <f t="shared" si="3"/>
        <v>#69</v>
      </c>
      <c r="I242" s="9">
        <f>ROUND(AVERAGEIFS('Pick Values'!$B$2:$B$81,'Pick Values'!$A$2:$A$81,"&gt;="&amp;$F242,'Pick Values'!$A$2:$A$81,"&lt;="&amp;$G242),0)</f>
        <v>0</v>
      </c>
      <c r="J242" s="9">
        <f>IF($B242=2027,ROUND($I242*Ladder!$B$2,0),IF($B242=2028,ROUND($I242*Ladder!$B$3,0),$I242))</f>
        <v>0</v>
      </c>
    </row>
  </sheetData>
  <autoFilter ref="A2:J242" xr:uid="{00000000-0009-0000-0000-000001000000}"/>
  <conditionalFormatting sqref="A3:J242">
    <cfRule type="expression" dxfId="4" priority="2">
      <formula>$E3&lt;&gt;$D3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Ladder!$A$6:$A$21</xm:f>
          </x14:formula1>
          <x14:formula2>
            <xm:f>0</xm:f>
          </x14:formula2>
          <xm:sqref>D3:D242</xm:sqref>
        </x14:dataValidation>
        <x14:dataValidation type="list" showErrorMessage="1" errorTitle="Invalid team" error="Pick a team from the list" xr:uid="{00000000-0002-0000-0100-000001000000}">
          <x14:formula1>
            <xm:f>Ladder!$A$6:$A$21</xm:f>
          </x14:formula1>
          <x14:formula2>
            <xm:f>0</xm:f>
          </x14:formula2>
          <xm:sqref>E3:E242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showGridLines="0" zoomScaleNormal="100" workbookViewId="0">
      <pane ySplit="5" topLeftCell="A6" activePane="bottomLeft" state="frozen"/>
      <selection pane="bottomLeft" activeCell="F29" sqref="F29"/>
    </sheetView>
  </sheetViews>
  <sheetFormatPr defaultColWidth="8.6640625" defaultRowHeight="14.4" x14ac:dyDescent="0.3"/>
  <cols>
    <col min="1" max="1" width="18" customWidth="1"/>
    <col min="2" max="7" width="10" customWidth="1"/>
    <col min="8" max="8" width="3" customWidth="1"/>
    <col min="9" max="9" width="16" customWidth="1"/>
    <col min="10" max="12" width="14" customWidth="1"/>
  </cols>
  <sheetData>
    <row r="1" spans="1:12" ht="17.25" customHeight="1" x14ac:dyDescent="0.3">
      <c r="A1" s="3" t="s">
        <v>48</v>
      </c>
    </row>
    <row r="2" spans="1:12" x14ac:dyDescent="0.3">
      <c r="A2" s="5" t="s">
        <v>49</v>
      </c>
      <c r="B2" s="16">
        <v>0.9</v>
      </c>
      <c r="C2" s="4" t="s">
        <v>50</v>
      </c>
    </row>
    <row r="3" spans="1:12" x14ac:dyDescent="0.3">
      <c r="A3" s="5" t="s">
        <v>51</v>
      </c>
      <c r="B3" s="16">
        <v>0.8</v>
      </c>
      <c r="C3" s="4" t="s">
        <v>52</v>
      </c>
    </row>
    <row r="4" spans="1:12" x14ac:dyDescent="0.3">
      <c r="A4" s="4" t="s">
        <v>53</v>
      </c>
    </row>
    <row r="5" spans="1:12" x14ac:dyDescent="0.3">
      <c r="A5" s="6" t="s">
        <v>4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I5" s="2" t="s">
        <v>60</v>
      </c>
      <c r="J5" s="2"/>
      <c r="K5" s="2"/>
      <c r="L5" s="2"/>
    </row>
    <row r="6" spans="1:12" x14ac:dyDescent="0.3">
      <c r="A6" s="8" t="s">
        <v>13</v>
      </c>
      <c r="B6" s="17">
        <v>10</v>
      </c>
      <c r="C6" s="17">
        <v>10</v>
      </c>
      <c r="D6" s="17">
        <v>10</v>
      </c>
      <c r="E6" s="17">
        <v>10</v>
      </c>
      <c r="F6" s="17">
        <v>10</v>
      </c>
      <c r="G6" s="17">
        <v>10</v>
      </c>
      <c r="I6" s="6" t="s">
        <v>61</v>
      </c>
      <c r="J6" s="6" t="s">
        <v>10</v>
      </c>
      <c r="K6" s="6" t="s">
        <v>11</v>
      </c>
      <c r="L6" s="6" t="s">
        <v>12</v>
      </c>
    </row>
    <row r="7" spans="1:12" x14ac:dyDescent="0.3">
      <c r="A7" s="8" t="s">
        <v>14</v>
      </c>
      <c r="B7" s="17">
        <v>9</v>
      </c>
      <c r="C7" s="17">
        <v>9</v>
      </c>
      <c r="D7" s="17">
        <v>9</v>
      </c>
      <c r="E7" s="17">
        <v>9</v>
      </c>
      <c r="F7" s="17">
        <v>9</v>
      </c>
      <c r="G7" s="17">
        <v>9</v>
      </c>
      <c r="I7" s="7">
        <v>1</v>
      </c>
      <c r="J7" s="18">
        <f t="shared" ref="J7:J22" si="0">SUMPRODUCT(($B$6:$B$21&lt;=$I7)*($C$6:$C$21&gt;=$I7)/($C$6:$C$21-$B$6:$B$21+1))</f>
        <v>1</v>
      </c>
      <c r="K7" s="18">
        <f t="shared" ref="K7:K22" si="1">SUMPRODUCT(($D$6:$D$21&lt;=$I7)*($E$6:$E$21&gt;=$I7)/($E$6:$E$21-$D$6:$D$21+1))</f>
        <v>1</v>
      </c>
      <c r="L7" s="18">
        <f t="shared" ref="L7:L22" si="2">SUMPRODUCT(($F$6:$F$21&lt;=$I7)*($G$6:$G$21&gt;=$I7)/($G$6:$G$21-$F$6:$F$21+1))</f>
        <v>1</v>
      </c>
    </row>
    <row r="8" spans="1:12" x14ac:dyDescent="0.3">
      <c r="A8" s="8" t="s">
        <v>15</v>
      </c>
      <c r="B8" s="17">
        <v>8</v>
      </c>
      <c r="C8" s="17">
        <v>8</v>
      </c>
      <c r="D8" s="17">
        <v>8</v>
      </c>
      <c r="E8" s="17">
        <v>8</v>
      </c>
      <c r="F8" s="17">
        <v>8</v>
      </c>
      <c r="G8" s="17">
        <v>8</v>
      </c>
      <c r="I8" s="7">
        <v>2</v>
      </c>
      <c r="J8" s="18">
        <f t="shared" si="0"/>
        <v>1</v>
      </c>
      <c r="K8" s="18">
        <f t="shared" si="1"/>
        <v>1</v>
      </c>
      <c r="L8" s="18">
        <f t="shared" si="2"/>
        <v>1</v>
      </c>
    </row>
    <row r="9" spans="1:12" x14ac:dyDescent="0.3">
      <c r="A9" s="8" t="s">
        <v>16</v>
      </c>
      <c r="B9" s="17">
        <v>7</v>
      </c>
      <c r="C9" s="17">
        <v>7</v>
      </c>
      <c r="D9" s="17">
        <v>7</v>
      </c>
      <c r="E9" s="17">
        <v>7</v>
      </c>
      <c r="F9" s="17">
        <v>7</v>
      </c>
      <c r="G9" s="17">
        <v>7</v>
      </c>
      <c r="I9" s="7">
        <v>3</v>
      </c>
      <c r="J9" s="18">
        <f t="shared" si="0"/>
        <v>1</v>
      </c>
      <c r="K9" s="18">
        <f t="shared" si="1"/>
        <v>1</v>
      </c>
      <c r="L9" s="18">
        <f t="shared" si="2"/>
        <v>1</v>
      </c>
    </row>
    <row r="10" spans="1:12" x14ac:dyDescent="0.3">
      <c r="A10" s="8" t="s">
        <v>17</v>
      </c>
      <c r="B10" s="17">
        <v>4</v>
      </c>
      <c r="C10" s="17">
        <v>4</v>
      </c>
      <c r="D10" s="17">
        <v>4</v>
      </c>
      <c r="E10" s="17">
        <v>4</v>
      </c>
      <c r="F10" s="17">
        <v>4</v>
      </c>
      <c r="G10" s="17">
        <v>4</v>
      </c>
      <c r="I10" s="7">
        <v>4</v>
      </c>
      <c r="J10" s="18">
        <f t="shared" si="0"/>
        <v>1</v>
      </c>
      <c r="K10" s="18">
        <f t="shared" si="1"/>
        <v>1</v>
      </c>
      <c r="L10" s="18">
        <f t="shared" si="2"/>
        <v>1</v>
      </c>
    </row>
    <row r="11" spans="1:12" x14ac:dyDescent="0.3">
      <c r="A11" s="8" t="s">
        <v>18</v>
      </c>
      <c r="B11" s="17">
        <v>2</v>
      </c>
      <c r="C11" s="17">
        <v>2</v>
      </c>
      <c r="D11" s="17">
        <v>2</v>
      </c>
      <c r="E11" s="17">
        <v>2</v>
      </c>
      <c r="F11" s="17">
        <v>2</v>
      </c>
      <c r="G11" s="17">
        <v>2</v>
      </c>
      <c r="I11" s="7">
        <v>5</v>
      </c>
      <c r="J11" s="18">
        <f t="shared" si="0"/>
        <v>1</v>
      </c>
      <c r="K11" s="18">
        <f t="shared" si="1"/>
        <v>1</v>
      </c>
      <c r="L11" s="18">
        <f t="shared" si="2"/>
        <v>1</v>
      </c>
    </row>
    <row r="12" spans="1:12" x14ac:dyDescent="0.3">
      <c r="A12" s="8" t="s">
        <v>19</v>
      </c>
      <c r="B12" s="17">
        <v>13</v>
      </c>
      <c r="C12" s="17">
        <v>13</v>
      </c>
      <c r="D12" s="17">
        <v>13</v>
      </c>
      <c r="E12" s="17">
        <v>13</v>
      </c>
      <c r="F12" s="17">
        <v>13</v>
      </c>
      <c r="G12" s="17">
        <v>13</v>
      </c>
      <c r="I12" s="7">
        <v>6</v>
      </c>
      <c r="J12" s="18">
        <f t="shared" si="0"/>
        <v>1</v>
      </c>
      <c r="K12" s="18">
        <f t="shared" si="1"/>
        <v>1</v>
      </c>
      <c r="L12" s="18">
        <f t="shared" si="2"/>
        <v>1</v>
      </c>
    </row>
    <row r="13" spans="1:12" x14ac:dyDescent="0.3">
      <c r="A13" s="8" t="s">
        <v>20</v>
      </c>
      <c r="B13" s="17">
        <v>1</v>
      </c>
      <c r="C13" s="17">
        <v>1</v>
      </c>
      <c r="D13" s="17">
        <v>1</v>
      </c>
      <c r="E13" s="17">
        <v>1</v>
      </c>
      <c r="F13" s="17">
        <v>1</v>
      </c>
      <c r="G13" s="17">
        <v>1</v>
      </c>
      <c r="I13" s="7">
        <v>7</v>
      </c>
      <c r="J13" s="18">
        <f t="shared" si="0"/>
        <v>1</v>
      </c>
      <c r="K13" s="18">
        <f t="shared" si="1"/>
        <v>1</v>
      </c>
      <c r="L13" s="18">
        <f t="shared" si="2"/>
        <v>1</v>
      </c>
    </row>
    <row r="14" spans="1:12" x14ac:dyDescent="0.3">
      <c r="A14" s="8" t="s">
        <v>21</v>
      </c>
      <c r="B14" s="17">
        <v>3</v>
      </c>
      <c r="C14" s="17">
        <v>3</v>
      </c>
      <c r="D14" s="17">
        <v>3</v>
      </c>
      <c r="E14" s="17">
        <v>3</v>
      </c>
      <c r="F14" s="17">
        <v>3</v>
      </c>
      <c r="G14" s="17">
        <v>3</v>
      </c>
      <c r="I14" s="7">
        <v>8</v>
      </c>
      <c r="J14" s="18">
        <f t="shared" si="0"/>
        <v>1</v>
      </c>
      <c r="K14" s="18">
        <f t="shared" si="1"/>
        <v>1</v>
      </c>
      <c r="L14" s="18">
        <f t="shared" si="2"/>
        <v>1</v>
      </c>
    </row>
    <row r="15" spans="1:12" x14ac:dyDescent="0.3">
      <c r="A15" s="8" t="s">
        <v>22</v>
      </c>
      <c r="B15" s="17">
        <v>15</v>
      </c>
      <c r="C15" s="17">
        <v>15</v>
      </c>
      <c r="D15" s="17">
        <v>15</v>
      </c>
      <c r="E15" s="17">
        <v>15</v>
      </c>
      <c r="F15" s="17">
        <v>15</v>
      </c>
      <c r="G15" s="17">
        <v>15</v>
      </c>
      <c r="I15" s="7">
        <v>9</v>
      </c>
      <c r="J15" s="18">
        <f t="shared" si="0"/>
        <v>1</v>
      </c>
      <c r="K15" s="18">
        <f t="shared" si="1"/>
        <v>1</v>
      </c>
      <c r="L15" s="18">
        <f t="shared" si="2"/>
        <v>1</v>
      </c>
    </row>
    <row r="16" spans="1:12" x14ac:dyDescent="0.3">
      <c r="A16" s="8" t="s">
        <v>23</v>
      </c>
      <c r="B16" s="17">
        <v>11</v>
      </c>
      <c r="C16" s="17">
        <v>11</v>
      </c>
      <c r="D16" s="17">
        <v>11</v>
      </c>
      <c r="E16" s="17">
        <v>11</v>
      </c>
      <c r="F16" s="17">
        <v>11</v>
      </c>
      <c r="G16" s="17">
        <v>11</v>
      </c>
      <c r="I16" s="7">
        <v>10</v>
      </c>
      <c r="J16" s="18">
        <f t="shared" si="0"/>
        <v>1</v>
      </c>
      <c r="K16" s="18">
        <f t="shared" si="1"/>
        <v>1</v>
      </c>
      <c r="L16" s="18">
        <f t="shared" si="2"/>
        <v>1</v>
      </c>
    </row>
    <row r="17" spans="1:12" x14ac:dyDescent="0.3">
      <c r="A17" s="8" t="s">
        <v>24</v>
      </c>
      <c r="B17" s="17">
        <v>6</v>
      </c>
      <c r="C17" s="17">
        <v>6</v>
      </c>
      <c r="D17" s="17">
        <v>6</v>
      </c>
      <c r="E17" s="17">
        <v>6</v>
      </c>
      <c r="F17" s="17">
        <v>6</v>
      </c>
      <c r="G17" s="17">
        <v>6</v>
      </c>
      <c r="I17" s="7">
        <v>11</v>
      </c>
      <c r="J17" s="18">
        <f t="shared" si="0"/>
        <v>1</v>
      </c>
      <c r="K17" s="18">
        <f t="shared" si="1"/>
        <v>1</v>
      </c>
      <c r="L17" s="18">
        <f t="shared" si="2"/>
        <v>1</v>
      </c>
    </row>
    <row r="18" spans="1:12" x14ac:dyDescent="0.3">
      <c r="A18" s="8" t="s">
        <v>25</v>
      </c>
      <c r="B18" s="17">
        <v>12</v>
      </c>
      <c r="C18" s="17">
        <v>12</v>
      </c>
      <c r="D18" s="17">
        <v>12</v>
      </c>
      <c r="E18" s="17">
        <v>12</v>
      </c>
      <c r="F18" s="17">
        <v>12</v>
      </c>
      <c r="G18" s="17">
        <v>12</v>
      </c>
      <c r="I18" s="7">
        <v>12</v>
      </c>
      <c r="J18" s="18">
        <f t="shared" si="0"/>
        <v>1</v>
      </c>
      <c r="K18" s="18">
        <f t="shared" si="1"/>
        <v>1</v>
      </c>
      <c r="L18" s="18">
        <f t="shared" si="2"/>
        <v>1</v>
      </c>
    </row>
    <row r="19" spans="1:12" x14ac:dyDescent="0.3">
      <c r="A19" s="8" t="s">
        <v>26</v>
      </c>
      <c r="B19" s="17">
        <v>14</v>
      </c>
      <c r="C19" s="17">
        <v>14</v>
      </c>
      <c r="D19" s="17">
        <v>14</v>
      </c>
      <c r="E19" s="17">
        <v>14</v>
      </c>
      <c r="F19" s="17">
        <v>14</v>
      </c>
      <c r="G19" s="17">
        <v>14</v>
      </c>
      <c r="I19" s="7">
        <v>13</v>
      </c>
      <c r="J19" s="18">
        <f t="shared" si="0"/>
        <v>1</v>
      </c>
      <c r="K19" s="18">
        <f t="shared" si="1"/>
        <v>1</v>
      </c>
      <c r="L19" s="18">
        <f t="shared" si="2"/>
        <v>1</v>
      </c>
    </row>
    <row r="20" spans="1:12" x14ac:dyDescent="0.3">
      <c r="A20" s="8" t="s">
        <v>27</v>
      </c>
      <c r="B20" s="17">
        <v>16</v>
      </c>
      <c r="C20" s="17">
        <v>16</v>
      </c>
      <c r="D20" s="17">
        <v>16</v>
      </c>
      <c r="E20" s="17">
        <v>16</v>
      </c>
      <c r="F20" s="17">
        <v>16</v>
      </c>
      <c r="G20" s="17">
        <v>16</v>
      </c>
      <c r="I20" s="7">
        <v>14</v>
      </c>
      <c r="J20" s="18">
        <f t="shared" si="0"/>
        <v>1</v>
      </c>
      <c r="K20" s="18">
        <f t="shared" si="1"/>
        <v>1</v>
      </c>
      <c r="L20" s="18">
        <f t="shared" si="2"/>
        <v>1</v>
      </c>
    </row>
    <row r="21" spans="1:12" x14ac:dyDescent="0.3">
      <c r="A21" s="8" t="s">
        <v>28</v>
      </c>
      <c r="B21" s="17">
        <v>5</v>
      </c>
      <c r="C21" s="17">
        <v>5</v>
      </c>
      <c r="D21" s="17">
        <v>5</v>
      </c>
      <c r="E21" s="17">
        <v>5</v>
      </c>
      <c r="F21" s="17">
        <v>5</v>
      </c>
      <c r="G21" s="17">
        <v>5</v>
      </c>
      <c r="I21" s="7">
        <v>15</v>
      </c>
      <c r="J21" s="18">
        <f t="shared" si="0"/>
        <v>1</v>
      </c>
      <c r="K21" s="18">
        <f t="shared" si="1"/>
        <v>1</v>
      </c>
      <c r="L21" s="18">
        <f t="shared" si="2"/>
        <v>1</v>
      </c>
    </row>
    <row r="22" spans="1:12" x14ac:dyDescent="0.3">
      <c r="I22" s="7">
        <v>16</v>
      </c>
      <c r="J22" s="18">
        <f t="shared" si="0"/>
        <v>1</v>
      </c>
      <c r="K22" s="18">
        <f t="shared" si="1"/>
        <v>1</v>
      </c>
      <c r="L22" s="18">
        <f t="shared" si="2"/>
        <v>1</v>
      </c>
    </row>
    <row r="24" spans="1:12" x14ac:dyDescent="0.3">
      <c r="I24" s="5" t="s">
        <v>62</v>
      </c>
      <c r="J24" s="1" t="str">
        <f>IF(SUMPRODUCT(--(ROUND($J$7:$J$22,6)&lt;&gt;1))=0,"VALID - value conserved","CHECK - ranges distort value")</f>
        <v>VALID - value conserved</v>
      </c>
      <c r="K24" s="1"/>
      <c r="L24" s="1"/>
    </row>
    <row r="25" spans="1:12" x14ac:dyDescent="0.3">
      <c r="I25" s="5" t="s">
        <v>63</v>
      </c>
      <c r="J25" s="1" t="str">
        <f>IF(SUMPRODUCT(--(ROUND($K$7:$K$22,6)&lt;&gt;1))=0,"VALID - value conserved","CHECK - ranges distort value")</f>
        <v>VALID - value conserved</v>
      </c>
      <c r="K25" s="1"/>
      <c r="L25" s="1"/>
    </row>
    <row r="26" spans="1:12" x14ac:dyDescent="0.3">
      <c r="I26" s="5" t="s">
        <v>64</v>
      </c>
      <c r="J26" s="1" t="str">
        <f>IF(SUMPRODUCT(--(ROUND($L$7:$L$22,6)&lt;&gt;1))=0,"VALID - value conserved","CHECK - ranges distort value")</f>
        <v>VALID - value conserved</v>
      </c>
      <c r="K26" s="1"/>
      <c r="L26" s="1"/>
    </row>
    <row r="28" spans="1:12" x14ac:dyDescent="0.3">
      <c r="I28" s="4" t="s">
        <v>65</v>
      </c>
    </row>
    <row r="29" spans="1:12" x14ac:dyDescent="0.3">
      <c r="I29" s="4" t="s">
        <v>66</v>
      </c>
    </row>
    <row r="31" spans="1:12" x14ac:dyDescent="0.3">
      <c r="I31" s="5" t="s">
        <v>67</v>
      </c>
      <c r="L31" s="19">
        <f>SUM('Pick Values'!$B$2:$B$81)</f>
        <v>47232</v>
      </c>
    </row>
  </sheetData>
  <mergeCells count="4">
    <mergeCell ref="I5:L5"/>
    <mergeCell ref="J24:L24"/>
    <mergeCell ref="J25:L25"/>
    <mergeCell ref="J26:L26"/>
  </mergeCells>
  <conditionalFormatting sqref="J24:J26">
    <cfRule type="expression" dxfId="3" priority="4">
      <formula>ISNUMBER(SEARCH("VALID",J24))</formula>
    </cfRule>
    <cfRule type="expression" dxfId="2" priority="5">
      <formula>ISNUMBER(SEARCH("CHECK",J24))</formula>
    </cfRule>
  </conditionalFormatting>
  <conditionalFormatting sqref="J7:L22">
    <cfRule type="cellIs" dxfId="1" priority="2" operator="notEqual">
      <formula>1</formula>
    </cfRule>
    <cfRule type="cellIs" dxfId="0" priority="3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"/>
  <sheetViews>
    <sheetView showGridLines="0" tabSelected="1" zoomScaleNormal="100" workbookViewId="0">
      <pane ySplit="1" topLeftCell="A41" activePane="bottomLeft" state="frozen"/>
      <selection pane="bottomLeft" activeCell="D49" sqref="D49"/>
    </sheetView>
  </sheetViews>
  <sheetFormatPr defaultColWidth="8.6640625" defaultRowHeight="14.4" x14ac:dyDescent="0.3"/>
  <cols>
    <col min="1" max="1" width="7" customWidth="1"/>
    <col min="2" max="2" width="9" customWidth="1"/>
  </cols>
  <sheetData>
    <row r="1" spans="1:3" x14ac:dyDescent="0.3">
      <c r="A1" s="6" t="s">
        <v>68</v>
      </c>
      <c r="B1" s="6" t="s">
        <v>69</v>
      </c>
      <c r="C1" s="4" t="s">
        <v>70</v>
      </c>
    </row>
    <row r="2" spans="1:3" x14ac:dyDescent="0.3">
      <c r="A2" s="7">
        <v>1</v>
      </c>
      <c r="B2" s="20">
        <v>3000</v>
      </c>
      <c r="C2" s="4" t="s">
        <v>71</v>
      </c>
    </row>
    <row r="3" spans="1:3" x14ac:dyDescent="0.3">
      <c r="A3" s="7">
        <v>2</v>
      </c>
      <c r="B3" s="20">
        <v>2733</v>
      </c>
    </row>
    <row r="4" spans="1:3" x14ac:dyDescent="0.3">
      <c r="A4" s="7">
        <v>3</v>
      </c>
      <c r="B4" s="20">
        <v>2436</v>
      </c>
    </row>
    <row r="5" spans="1:3" x14ac:dyDescent="0.3">
      <c r="A5" s="7">
        <v>4</v>
      </c>
      <c r="B5" s="20">
        <v>2074</v>
      </c>
    </row>
    <row r="6" spans="1:3" x14ac:dyDescent="0.3">
      <c r="A6" s="7">
        <v>5</v>
      </c>
      <c r="B6" s="20">
        <v>1792</v>
      </c>
    </row>
    <row r="7" spans="1:3" x14ac:dyDescent="0.3">
      <c r="A7" s="7">
        <v>6</v>
      </c>
      <c r="B7" s="20">
        <v>1572</v>
      </c>
    </row>
    <row r="8" spans="1:3" x14ac:dyDescent="0.3">
      <c r="A8" s="7">
        <v>7</v>
      </c>
      <c r="B8" s="20">
        <v>1383</v>
      </c>
    </row>
    <row r="9" spans="1:3" x14ac:dyDescent="0.3">
      <c r="A9" s="7">
        <v>8</v>
      </c>
      <c r="B9" s="20">
        <v>1343</v>
      </c>
    </row>
    <row r="10" spans="1:3" x14ac:dyDescent="0.3">
      <c r="A10" s="7">
        <v>9</v>
      </c>
      <c r="B10" s="20">
        <v>1322</v>
      </c>
    </row>
    <row r="11" spans="1:3" x14ac:dyDescent="0.3">
      <c r="A11" s="7">
        <v>10</v>
      </c>
      <c r="B11" s="20">
        <v>1300</v>
      </c>
    </row>
    <row r="12" spans="1:3" x14ac:dyDescent="0.3">
      <c r="A12" s="7">
        <v>11</v>
      </c>
      <c r="B12" s="20">
        <v>1296</v>
      </c>
    </row>
    <row r="13" spans="1:3" x14ac:dyDescent="0.3">
      <c r="A13" s="7">
        <v>12</v>
      </c>
      <c r="B13" s="20">
        <v>1232</v>
      </c>
    </row>
    <row r="14" spans="1:3" x14ac:dyDescent="0.3">
      <c r="A14" s="7">
        <v>13</v>
      </c>
      <c r="B14" s="20">
        <v>1131</v>
      </c>
    </row>
    <row r="15" spans="1:3" x14ac:dyDescent="0.3">
      <c r="A15" s="7">
        <v>14</v>
      </c>
      <c r="B15" s="20">
        <v>1002</v>
      </c>
    </row>
    <row r="16" spans="1:3" x14ac:dyDescent="0.3">
      <c r="A16" s="7">
        <v>15</v>
      </c>
      <c r="B16" s="20">
        <v>886</v>
      </c>
    </row>
    <row r="17" spans="1:2" x14ac:dyDescent="0.3">
      <c r="A17" s="7">
        <v>16</v>
      </c>
      <c r="B17" s="20">
        <v>814</v>
      </c>
    </row>
    <row r="18" spans="1:2" x14ac:dyDescent="0.3">
      <c r="A18" s="7">
        <v>17</v>
      </c>
      <c r="B18" s="20">
        <v>812</v>
      </c>
    </row>
    <row r="19" spans="1:2" x14ac:dyDescent="0.3">
      <c r="A19" s="7">
        <v>18</v>
      </c>
      <c r="B19" s="20">
        <v>811</v>
      </c>
    </row>
    <row r="20" spans="1:2" x14ac:dyDescent="0.3">
      <c r="A20" s="7">
        <v>19</v>
      </c>
      <c r="B20" s="20">
        <v>809</v>
      </c>
    </row>
    <row r="21" spans="1:2" x14ac:dyDescent="0.3">
      <c r="A21" s="7">
        <v>20</v>
      </c>
      <c r="B21" s="20">
        <v>807</v>
      </c>
    </row>
    <row r="22" spans="1:2" x14ac:dyDescent="0.3">
      <c r="A22" s="7">
        <v>21</v>
      </c>
      <c r="B22" s="20">
        <v>805</v>
      </c>
    </row>
    <row r="23" spans="1:2" x14ac:dyDescent="0.3">
      <c r="A23" s="7">
        <v>22</v>
      </c>
      <c r="B23" s="20">
        <v>774</v>
      </c>
    </row>
    <row r="24" spans="1:2" x14ac:dyDescent="0.3">
      <c r="A24" s="7">
        <v>23</v>
      </c>
      <c r="B24" s="20">
        <v>736</v>
      </c>
    </row>
    <row r="25" spans="1:2" x14ac:dyDescent="0.3">
      <c r="A25" s="7">
        <v>24</v>
      </c>
      <c r="B25" s="20">
        <v>702</v>
      </c>
    </row>
    <row r="26" spans="1:2" x14ac:dyDescent="0.3">
      <c r="A26" s="7">
        <v>25</v>
      </c>
      <c r="B26" s="20">
        <v>675</v>
      </c>
    </row>
    <row r="27" spans="1:2" x14ac:dyDescent="0.3">
      <c r="A27" s="7">
        <v>26</v>
      </c>
      <c r="B27" s="20">
        <v>656</v>
      </c>
    </row>
    <row r="28" spans="1:2" x14ac:dyDescent="0.3">
      <c r="A28" s="7">
        <v>27</v>
      </c>
      <c r="B28" s="20">
        <v>642</v>
      </c>
    </row>
    <row r="29" spans="1:2" x14ac:dyDescent="0.3">
      <c r="A29" s="7">
        <v>28</v>
      </c>
      <c r="B29" s="20">
        <v>629</v>
      </c>
    </row>
    <row r="30" spans="1:2" x14ac:dyDescent="0.3">
      <c r="A30" s="7">
        <v>29</v>
      </c>
      <c r="B30" s="20">
        <v>615</v>
      </c>
    </row>
    <row r="31" spans="1:2" x14ac:dyDescent="0.3">
      <c r="A31" s="7">
        <v>30</v>
      </c>
      <c r="B31" s="20">
        <v>601</v>
      </c>
    </row>
    <row r="32" spans="1:2" x14ac:dyDescent="0.3">
      <c r="A32" s="7">
        <v>31</v>
      </c>
      <c r="B32" s="20">
        <v>586</v>
      </c>
    </row>
    <row r="33" spans="1:2" x14ac:dyDescent="0.3">
      <c r="A33" s="7">
        <v>32</v>
      </c>
      <c r="B33" s="20">
        <v>571</v>
      </c>
    </row>
    <row r="34" spans="1:2" x14ac:dyDescent="0.3">
      <c r="A34" s="7">
        <v>33</v>
      </c>
      <c r="B34" s="20">
        <v>558</v>
      </c>
    </row>
    <row r="35" spans="1:2" x14ac:dyDescent="0.3">
      <c r="A35" s="7">
        <v>34</v>
      </c>
      <c r="B35" s="20">
        <v>546</v>
      </c>
    </row>
    <row r="36" spans="1:2" x14ac:dyDescent="0.3">
      <c r="A36" s="7">
        <v>35</v>
      </c>
      <c r="B36" s="20">
        <v>535</v>
      </c>
    </row>
    <row r="37" spans="1:2" x14ac:dyDescent="0.3">
      <c r="A37" s="7">
        <v>36</v>
      </c>
      <c r="B37" s="20">
        <v>525</v>
      </c>
    </row>
    <row r="38" spans="1:2" x14ac:dyDescent="0.3">
      <c r="A38" s="7">
        <v>37</v>
      </c>
      <c r="B38" s="20">
        <v>514</v>
      </c>
    </row>
    <row r="39" spans="1:2" x14ac:dyDescent="0.3">
      <c r="A39" s="7">
        <v>38</v>
      </c>
      <c r="B39" s="20">
        <v>502</v>
      </c>
    </row>
    <row r="40" spans="1:2" x14ac:dyDescent="0.3">
      <c r="A40" s="7">
        <v>39</v>
      </c>
      <c r="B40" s="20">
        <v>489</v>
      </c>
    </row>
    <row r="41" spans="1:2" x14ac:dyDescent="0.3">
      <c r="A41" s="7">
        <v>40</v>
      </c>
      <c r="B41" s="20">
        <v>472</v>
      </c>
    </row>
    <row r="42" spans="1:2" x14ac:dyDescent="0.3">
      <c r="A42" s="7">
        <v>41</v>
      </c>
      <c r="B42" s="20">
        <v>453</v>
      </c>
    </row>
    <row r="43" spans="1:2" x14ac:dyDescent="0.3">
      <c r="A43" s="7">
        <v>42</v>
      </c>
      <c r="B43" s="20">
        <v>432</v>
      </c>
    </row>
    <row r="44" spans="1:2" x14ac:dyDescent="0.3">
      <c r="A44" s="7">
        <v>43</v>
      </c>
      <c r="B44" s="20">
        <v>408</v>
      </c>
    </row>
    <row r="45" spans="1:2" x14ac:dyDescent="0.3">
      <c r="A45" s="7">
        <v>44</v>
      </c>
      <c r="B45" s="20">
        <v>384</v>
      </c>
    </row>
    <row r="46" spans="1:2" x14ac:dyDescent="0.3">
      <c r="A46" s="7">
        <v>45</v>
      </c>
      <c r="B46" s="20">
        <v>360</v>
      </c>
    </row>
    <row r="47" spans="1:2" x14ac:dyDescent="0.3">
      <c r="A47" s="7">
        <v>46</v>
      </c>
      <c r="B47" s="20">
        <v>338</v>
      </c>
    </row>
    <row r="48" spans="1:2" x14ac:dyDescent="0.3">
      <c r="A48" s="7">
        <v>47</v>
      </c>
      <c r="B48" s="20">
        <v>318</v>
      </c>
    </row>
    <row r="49" spans="1:2" x14ac:dyDescent="0.3">
      <c r="A49" s="7">
        <v>48</v>
      </c>
      <c r="B49" s="20">
        <v>300</v>
      </c>
    </row>
    <row r="50" spans="1:2" x14ac:dyDescent="0.3">
      <c r="A50" s="7">
        <v>49</v>
      </c>
      <c r="B50" s="20">
        <v>286</v>
      </c>
    </row>
    <row r="51" spans="1:2" x14ac:dyDescent="0.3">
      <c r="A51" s="7">
        <v>50</v>
      </c>
      <c r="B51" s="20">
        <v>274</v>
      </c>
    </row>
    <row r="52" spans="1:2" x14ac:dyDescent="0.3">
      <c r="A52" s="7">
        <v>51</v>
      </c>
      <c r="B52" s="20">
        <v>264</v>
      </c>
    </row>
    <row r="53" spans="1:2" x14ac:dyDescent="0.3">
      <c r="A53" s="7">
        <v>52</v>
      </c>
      <c r="B53" s="20">
        <v>256</v>
      </c>
    </row>
    <row r="54" spans="1:2" x14ac:dyDescent="0.3">
      <c r="A54" s="7">
        <v>53</v>
      </c>
      <c r="B54" s="20">
        <v>248</v>
      </c>
    </row>
    <row r="55" spans="1:2" x14ac:dyDescent="0.3">
      <c r="A55" s="7">
        <v>54</v>
      </c>
      <c r="B55" s="20">
        <v>240</v>
      </c>
    </row>
    <row r="56" spans="1:2" x14ac:dyDescent="0.3">
      <c r="A56" s="7">
        <v>55</v>
      </c>
      <c r="B56" s="20">
        <v>232</v>
      </c>
    </row>
    <row r="57" spans="1:2" x14ac:dyDescent="0.3">
      <c r="A57" s="7">
        <v>56</v>
      </c>
      <c r="B57" s="20">
        <v>223</v>
      </c>
    </row>
    <row r="58" spans="1:2" x14ac:dyDescent="0.3">
      <c r="A58" s="7">
        <v>57</v>
      </c>
      <c r="B58" s="20">
        <v>213</v>
      </c>
    </row>
    <row r="59" spans="1:2" x14ac:dyDescent="0.3">
      <c r="A59" s="7">
        <v>58</v>
      </c>
      <c r="B59" s="20">
        <v>204</v>
      </c>
    </row>
    <row r="60" spans="1:2" x14ac:dyDescent="0.3">
      <c r="A60" s="7">
        <v>59</v>
      </c>
      <c r="B60" s="20">
        <v>196</v>
      </c>
    </row>
    <row r="61" spans="1:2" x14ac:dyDescent="0.3">
      <c r="A61" s="7">
        <v>60</v>
      </c>
      <c r="B61" s="20">
        <v>190</v>
      </c>
    </row>
    <row r="62" spans="1:2" x14ac:dyDescent="0.3">
      <c r="A62" s="7">
        <v>61</v>
      </c>
      <c r="B62" s="20">
        <v>185</v>
      </c>
    </row>
    <row r="63" spans="1:2" x14ac:dyDescent="0.3">
      <c r="A63" s="7">
        <v>62</v>
      </c>
      <c r="B63" s="20">
        <v>182</v>
      </c>
    </row>
    <row r="64" spans="1:2" x14ac:dyDescent="0.3">
      <c r="A64" s="7">
        <v>63</v>
      </c>
      <c r="B64" s="20">
        <v>180</v>
      </c>
    </row>
    <row r="65" spans="1:2" x14ac:dyDescent="0.3">
      <c r="A65" s="7">
        <v>64</v>
      </c>
      <c r="B65" s="20">
        <v>178</v>
      </c>
    </row>
    <row r="66" spans="1:2" x14ac:dyDescent="0.3">
      <c r="A66" s="7">
        <v>65</v>
      </c>
      <c r="B66" s="20">
        <v>0</v>
      </c>
    </row>
    <row r="67" spans="1:2" x14ac:dyDescent="0.3">
      <c r="A67" s="7">
        <v>66</v>
      </c>
      <c r="B67" s="20">
        <v>0</v>
      </c>
    </row>
    <row r="68" spans="1:2" x14ac:dyDescent="0.3">
      <c r="A68" s="7">
        <v>67</v>
      </c>
      <c r="B68" s="20">
        <v>0</v>
      </c>
    </row>
    <row r="69" spans="1:2" x14ac:dyDescent="0.3">
      <c r="A69" s="7">
        <v>68</v>
      </c>
      <c r="B69" s="20">
        <v>0</v>
      </c>
    </row>
    <row r="70" spans="1:2" x14ac:dyDescent="0.3">
      <c r="A70" s="7">
        <v>69</v>
      </c>
      <c r="B70" s="20">
        <v>0</v>
      </c>
    </row>
    <row r="71" spans="1:2" x14ac:dyDescent="0.3">
      <c r="A71" s="7">
        <v>70</v>
      </c>
      <c r="B71" s="20">
        <v>0</v>
      </c>
    </row>
    <row r="72" spans="1:2" x14ac:dyDescent="0.3">
      <c r="A72" s="7">
        <v>71</v>
      </c>
      <c r="B72" s="20">
        <v>0</v>
      </c>
    </row>
    <row r="73" spans="1:2" x14ac:dyDescent="0.3">
      <c r="A73" s="7">
        <v>72</v>
      </c>
      <c r="B73" s="20">
        <v>0</v>
      </c>
    </row>
    <row r="74" spans="1:2" x14ac:dyDescent="0.3">
      <c r="A74" s="7">
        <v>73</v>
      </c>
      <c r="B74" s="20">
        <v>0</v>
      </c>
    </row>
    <row r="75" spans="1:2" x14ac:dyDescent="0.3">
      <c r="A75" s="7">
        <v>74</v>
      </c>
      <c r="B75" s="20">
        <v>0</v>
      </c>
    </row>
    <row r="76" spans="1:2" x14ac:dyDescent="0.3">
      <c r="A76" s="7">
        <v>75</v>
      </c>
      <c r="B76" s="20">
        <v>0</v>
      </c>
    </row>
    <row r="77" spans="1:2" x14ac:dyDescent="0.3">
      <c r="A77" s="7">
        <v>76</v>
      </c>
      <c r="B77" s="20">
        <v>0</v>
      </c>
    </row>
    <row r="78" spans="1:2" x14ac:dyDescent="0.3">
      <c r="A78" s="7">
        <v>77</v>
      </c>
      <c r="B78" s="20">
        <v>0</v>
      </c>
    </row>
    <row r="79" spans="1:2" x14ac:dyDescent="0.3">
      <c r="A79" s="7">
        <v>78</v>
      </c>
      <c r="B79" s="20">
        <v>0</v>
      </c>
    </row>
    <row r="80" spans="1:2" x14ac:dyDescent="0.3">
      <c r="A80" s="7">
        <v>79</v>
      </c>
      <c r="B80" s="20">
        <v>0</v>
      </c>
    </row>
    <row r="81" spans="1:2" x14ac:dyDescent="0.3">
      <c r="A81" s="7">
        <v>80</v>
      </c>
      <c r="B81" s="2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Picks</vt:lpstr>
      <vt:lpstr>Ladder</vt:lpstr>
      <vt:lpstr>Pick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McAlister - Zing International</dc:creator>
  <dc:description/>
  <cp:lastModifiedBy>Luke McAlister - Zing International</cp:lastModifiedBy>
  <cp:revision>0</cp:revision>
  <dcterms:created xsi:type="dcterms:W3CDTF">2026-07-16T00:19:26Z</dcterms:created>
  <dcterms:modified xsi:type="dcterms:W3CDTF">2026-08-28T00:12:27Z</dcterms:modified>
  <dc:language>en-US</dc:language>
</cp:coreProperties>
</file>