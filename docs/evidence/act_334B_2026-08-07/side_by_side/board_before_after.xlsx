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yers" sheetId="1" state="visible" r:id="rId1"/>
    <sheet name="picks" sheetId="2" state="visible" r:id="rId2"/>
    <sheet name="reactivity movers" sheetId="3" state="visible" r:id="rId3"/>
    <sheet name="surprise movers" sheetId="4" state="visible" r:id="rId4"/>
    <sheet name="readme" sheetId="5" state="visible" r:id="rId5"/>
  </sheets>
  <definedNames>
    <definedName name="_xlnm._FilterDatabase" localSheetId="0" hidden="1">'players'!$A$1:$Q$805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-"/>
    <numFmt numFmtId="165" formatCode="0.00%;(0.00%);-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1"/>
    </font>
    <font>
      <name val="Arial"/>
      <i val="1"/>
      <sz val="9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64" fontId="2" fillId="0" borderId="0" pivotButton="0" quotePrefix="0" xfId="0"/>
    <xf numFmtId="165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20" customWidth="1" min="3" max="3"/>
    <col width="7" customWidth="1" min="4" max="4"/>
    <col width="6" customWidth="1" min="5" max="5"/>
    <col width="26" customWidth="1" min="6" max="6"/>
    <col width="17" customWidth="1" min="7" max="7"/>
    <col width="17" customWidth="1" min="8" max="8"/>
    <col width="13" customWidth="1" min="9" max="9"/>
    <col width="12" customWidth="1" min="10" max="10"/>
    <col width="29" customWidth="1" min="11" max="11"/>
    <col width="18" customWidth="1" min="12" max="12"/>
    <col width="18" customWidth="1" min="13" max="13"/>
    <col width="22" customWidth="1" min="14" max="14"/>
    <col width="18" customWidth="1" min="15" max="15"/>
    <col width="20" customWidth="1" min="16" max="16"/>
    <col width="26" customWidth="1" min="17" max="17"/>
  </cols>
  <sheetData>
    <row r="1">
      <c r="A1" s="1" t="inlineStr">
        <is>
          <t>key</t>
        </is>
      </c>
      <c r="B1" s="1" t="inlineStr">
        <is>
          <t>name</t>
        </is>
      </c>
      <c r="C1" s="1" t="inlineStr">
        <is>
          <t>club</t>
        </is>
      </c>
      <c r="D1" s="1" t="inlineStr">
        <is>
          <t>pos</t>
        </is>
      </c>
      <c r="E1" s="1" t="inlineStr">
        <is>
          <t>age</t>
        </is>
      </c>
      <c r="F1" s="1" t="inlineStr">
        <is>
          <t>entry</t>
        </is>
      </c>
      <c r="G1" s="1" t="inlineStr">
        <is>
          <t>OLD — shipped board 113b36f8</t>
        </is>
      </c>
      <c r="H1" s="1" t="inlineStr">
        <is>
          <t>NEW — final board b56bbdde</t>
        </is>
      </c>
      <c r="I1" s="1" t="inlineStr">
        <is>
          <t>abs Δ (NEW − OLD)</t>
        </is>
      </c>
      <c r="J1" s="1" t="inlineStr">
        <is>
          <t>% Δ (of OLD)</t>
        </is>
      </c>
      <c r="K1" s="1" t="inlineStr">
        <is>
          <t>% change beyond the currency re-base</t>
        </is>
      </c>
      <c r="L1" s="1" t="inlineStr">
        <is>
          <t>Δ reference layer (de5110bb − 113b36f8)</t>
        </is>
      </c>
      <c r="M1" s="1" t="inlineStr">
        <is>
          <t>Δ era removal (f94e0778 − de5110bb)</t>
        </is>
      </c>
      <c r="N1" s="1" t="inlineStr">
        <is>
          <t>Δ curve+surface+numéraire (6c9f8d3a − f94e0778)</t>
        </is>
      </c>
      <c r="O1" s="1" t="inlineStr">
        <is>
          <t>Δ reactivity (b490ae8b − 6c9f8d3a)</t>
        </is>
      </c>
      <c r="P1" s="1" t="inlineStr">
        <is>
          <t>Δ surprise-trust (b56bbdde − b490ae8b)</t>
        </is>
      </c>
      <c r="Q1" s="1" t="inlineStr">
        <is>
          <t>STAGE SUM CHECK (ΣΔ stages − abs Δ; must be 0)</t>
        </is>
      </c>
    </row>
    <row r="2">
      <c r="A2" s="2" t="inlineStr">
        <is>
          <t>nick-daicos</t>
        </is>
      </c>
      <c r="B2" s="2" t="inlineStr">
        <is>
          <t>Nick Daicos</t>
        </is>
      </c>
      <c r="C2" s="2" t="inlineStr">
        <is>
          <t>Collingwood</t>
        </is>
      </c>
      <c r="D2" s="2" t="inlineStr">
        <is>
          <t>MID</t>
        </is>
      </c>
      <c r="E2" s="2" t="n">
        <v>23</v>
      </c>
      <c r="F2" s="2" t="inlineStr">
        <is>
          <t>National pick 4</t>
        </is>
      </c>
      <c r="G2" s="3" t="n">
        <v>10971</v>
      </c>
      <c r="H2" s="3" t="n">
        <v>9649</v>
      </c>
      <c r="I2" s="3">
        <f>H2-G2</f>
        <v/>
      </c>
      <c r="J2" s="4">
        <f>IF(G2=0,"",(H2-G2)/G2)</f>
        <v/>
      </c>
      <c r="K2" s="4">
        <f>IF(G2=0,"",(H2-G2*0.891738)/(G2*0.891738))</f>
        <v/>
      </c>
      <c r="L2" s="3" t="n">
        <v>-151</v>
      </c>
      <c r="M2" s="3" t="n">
        <v>0</v>
      </c>
      <c r="N2" s="3" t="n">
        <v>-1171</v>
      </c>
      <c r="O2" s="3" t="n">
        <v>0</v>
      </c>
      <c r="P2" s="3" t="n">
        <v>0</v>
      </c>
      <c r="Q2" s="3">
        <f>SUM(L2:P2)-I2</f>
        <v/>
      </c>
    </row>
    <row r="3">
      <c r="A3" s="2" t="inlineStr">
        <is>
          <t>harry-sheezel</t>
        </is>
      </c>
      <c r="B3" s="2" t="inlineStr">
        <is>
          <t>Harry Sheezel</t>
        </is>
      </c>
      <c r="C3" s="2" t="inlineStr">
        <is>
          <t>North Melbourne</t>
        </is>
      </c>
      <c r="D3" s="2" t="inlineStr">
        <is>
          <t>MID</t>
        </is>
      </c>
      <c r="E3" s="2" t="n">
        <v>22</v>
      </c>
      <c r="F3" s="2" t="inlineStr">
        <is>
          <t>National pick 3</t>
        </is>
      </c>
      <c r="G3" s="3" t="n">
        <v>12124</v>
      </c>
      <c r="H3" s="3" t="n">
        <v>10668</v>
      </c>
      <c r="I3" s="3">
        <f>H3-G3</f>
        <v/>
      </c>
      <c r="J3" s="4">
        <f>IF(G3=0,"",(H3-G3)/G3)</f>
        <v/>
      </c>
      <c r="K3" s="4">
        <f>IF(G3=0,"",(H3-G3*0.891738)/(G3*0.891738))</f>
        <v/>
      </c>
      <c r="L3" s="3" t="n">
        <v>-161</v>
      </c>
      <c r="M3" s="3" t="n">
        <v>0</v>
      </c>
      <c r="N3" s="3" t="n">
        <v>-1295</v>
      </c>
      <c r="O3" s="3" t="n">
        <v>0</v>
      </c>
      <c r="P3" s="3" t="n">
        <v>0</v>
      </c>
      <c r="Q3" s="3">
        <f>SUM(L3:P3)-I3</f>
        <v/>
      </c>
    </row>
    <row r="4">
      <c r="A4" s="2" t="inlineStr">
        <is>
          <t>nasiah-wanganeen-milera</t>
        </is>
      </c>
      <c r="B4" s="2" t="inlineStr">
        <is>
          <t>Nasiah Wanganeen-Milera</t>
        </is>
      </c>
      <c r="C4" s="2" t="inlineStr">
        <is>
          <t>St Kilda</t>
        </is>
      </c>
      <c r="D4" s="2" t="inlineStr">
        <is>
          <t>MID</t>
        </is>
      </c>
      <c r="E4" s="2" t="n">
        <v>23</v>
      </c>
      <c r="F4" s="2" t="inlineStr">
        <is>
          <t>National pick 11</t>
        </is>
      </c>
      <c r="G4" s="3" t="n">
        <v>9816</v>
      </c>
      <c r="H4" s="3" t="n">
        <v>8633</v>
      </c>
      <c r="I4" s="3">
        <f>H4-G4</f>
        <v/>
      </c>
      <c r="J4" s="4">
        <f>IF(G4=0,"",(H4-G4)/G4)</f>
        <v/>
      </c>
      <c r="K4" s="4">
        <f>IF(G4=0,"",(H4-G4*0.891738)/(G4*0.891738))</f>
        <v/>
      </c>
      <c r="L4" s="3" t="n">
        <v>-135</v>
      </c>
      <c r="M4" s="3" t="n">
        <v>0</v>
      </c>
      <c r="N4" s="3" t="n">
        <v>-1048</v>
      </c>
      <c r="O4" s="3" t="n">
        <v>0</v>
      </c>
      <c r="P4" s="3" t="n">
        <v>0</v>
      </c>
      <c r="Q4" s="3">
        <f>SUM(L4:P4)-I4</f>
        <v/>
      </c>
    </row>
    <row r="5">
      <c r="A5" s="2" t="inlineStr">
        <is>
          <t>luke-jackson</t>
        </is>
      </c>
      <c r="B5" s="2" t="inlineStr">
        <is>
          <t>Luke Jackson</t>
        </is>
      </c>
      <c r="C5" s="2" t="inlineStr">
        <is>
          <t>Fremantle</t>
        </is>
      </c>
      <c r="D5" s="2" t="inlineStr">
        <is>
          <t>RUCK</t>
        </is>
      </c>
      <c r="E5" s="2" t="n">
        <v>25</v>
      </c>
      <c r="F5" s="2" t="inlineStr">
        <is>
          <t>National pick 3</t>
        </is>
      </c>
      <c r="G5" s="3" t="n">
        <v>9860</v>
      </c>
      <c r="H5" s="3" t="n">
        <v>8670</v>
      </c>
      <c r="I5" s="3">
        <f>H5-G5</f>
        <v/>
      </c>
      <c r="J5" s="4">
        <f>IF(G5=0,"",(H5-G5)/G5)</f>
        <v/>
      </c>
      <c r="K5" s="4">
        <f>IF(G5=0,"",(H5-G5*0.891738)/(G5*0.891738))</f>
        <v/>
      </c>
      <c r="L5" s="3" t="n">
        <v>-138</v>
      </c>
      <c r="M5" s="3" t="n">
        <v>0</v>
      </c>
      <c r="N5" s="3" t="n">
        <v>-1052</v>
      </c>
      <c r="O5" s="3" t="n">
        <v>0</v>
      </c>
      <c r="P5" s="3" t="n">
        <v>0</v>
      </c>
      <c r="Q5" s="3">
        <f>SUM(L5:P5)-I5</f>
        <v/>
      </c>
    </row>
    <row r="6">
      <c r="A6" s="2" t="inlineStr">
        <is>
          <t>will-ashcroft</t>
        </is>
      </c>
      <c r="B6" s="2" t="inlineStr">
        <is>
          <t>Will Ashcroft</t>
        </is>
      </c>
      <c r="C6" s="2" t="inlineStr">
        <is>
          <t>Brisbane</t>
        </is>
      </c>
      <c r="D6" s="2" t="inlineStr">
        <is>
          <t>MID</t>
        </is>
      </c>
      <c r="E6" s="2" t="n">
        <v>22</v>
      </c>
      <c r="F6" s="2" t="inlineStr">
        <is>
          <t>National pick 2</t>
        </is>
      </c>
      <c r="G6" s="3" t="n">
        <v>7310</v>
      </c>
      <c r="H6" s="3" t="n">
        <v>6423</v>
      </c>
      <c r="I6" s="3">
        <f>H6-G6</f>
        <v/>
      </c>
      <c r="J6" s="4">
        <f>IF(G6=0,"",(H6-G6)/G6)</f>
        <v/>
      </c>
      <c r="K6" s="4">
        <f>IF(G6=0,"",(H6-G6*0.891738)/(G6*0.891738))</f>
        <v/>
      </c>
      <c r="L6" s="3" t="n">
        <v>-106</v>
      </c>
      <c r="M6" s="3" t="n">
        <v>0</v>
      </c>
      <c r="N6" s="3" t="n">
        <v>-781</v>
      </c>
      <c r="O6" s="3" t="n">
        <v>0</v>
      </c>
      <c r="P6" s="3" t="n">
        <v>0</v>
      </c>
      <c r="Q6" s="3">
        <f>SUM(L6:P6)-I6</f>
        <v/>
      </c>
    </row>
    <row r="7">
      <c r="A7" s="2" t="inlineStr">
        <is>
          <t>max-holmes</t>
        </is>
      </c>
      <c r="B7" s="2" t="inlineStr">
        <is>
          <t>Max Holmes</t>
        </is>
      </c>
      <c r="C7" s="2" t="inlineStr">
        <is>
          <t>Geelong</t>
        </is>
      </c>
      <c r="D7" s="2" t="inlineStr">
        <is>
          <t>MID</t>
        </is>
      </c>
      <c r="E7" s="2" t="n">
        <v>24</v>
      </c>
      <c r="F7" s="2" t="inlineStr">
        <is>
          <t>National pick 21</t>
        </is>
      </c>
      <c r="G7" s="3" t="n">
        <v>8517</v>
      </c>
      <c r="H7" s="3" t="n">
        <v>7490</v>
      </c>
      <c r="I7" s="3">
        <f>H7-G7</f>
        <v/>
      </c>
      <c r="J7" s="4">
        <f>IF(G7=0,"",(H7-G7)/G7)</f>
        <v/>
      </c>
      <c r="K7" s="4">
        <f>IF(G7=0,"",(H7-G7*0.891738)/(G7*0.891738))</f>
        <v/>
      </c>
      <c r="L7" s="3" t="n">
        <v>-118</v>
      </c>
      <c r="M7" s="3" t="n">
        <v>0</v>
      </c>
      <c r="N7" s="3" t="n">
        <v>-909</v>
      </c>
      <c r="O7" s="3" t="n">
        <v>0</v>
      </c>
      <c r="P7" s="3" t="n">
        <v>0</v>
      </c>
      <c r="Q7" s="3">
        <f>SUM(L7:P7)-I7</f>
        <v/>
      </c>
    </row>
    <row r="8">
      <c r="A8" s="2" t="inlineStr">
        <is>
          <t>archie-roberts</t>
        </is>
      </c>
      <c r="B8" s="2" t="inlineStr">
        <is>
          <t>Archie Roberts</t>
        </is>
      </c>
      <c r="C8" s="2" t="inlineStr">
        <is>
          <t>Essendon</t>
        </is>
      </c>
      <c r="D8" s="2" t="inlineStr">
        <is>
          <t>SD</t>
        </is>
      </c>
      <c r="E8" s="2" t="n">
        <v>21</v>
      </c>
      <c r="F8" s="2" t="inlineStr">
        <is>
          <t>National pick 54</t>
        </is>
      </c>
      <c r="G8" s="3" t="n">
        <v>4941</v>
      </c>
      <c r="H8" s="3" t="n">
        <v>4325</v>
      </c>
      <c r="I8" s="3">
        <f>H8-G8</f>
        <v/>
      </c>
      <c r="J8" s="4">
        <f>IF(G8=0,"",(H8-G8)/G8)</f>
        <v/>
      </c>
      <c r="K8" s="4">
        <f>IF(G8=0,"",(H8-G8*0.891738)/(G8*0.891738))</f>
        <v/>
      </c>
      <c r="L8" s="3" t="n">
        <v>-90</v>
      </c>
      <c r="M8" s="3" t="n">
        <v>0</v>
      </c>
      <c r="N8" s="3" t="n">
        <v>-526</v>
      </c>
      <c r="O8" s="3" t="n">
        <v>0</v>
      </c>
      <c r="P8" s="3" t="n">
        <v>0</v>
      </c>
      <c r="Q8" s="3">
        <f>SUM(L8:P8)-I8</f>
        <v/>
      </c>
    </row>
    <row r="9">
      <c r="A9" s="2" t="inlineStr">
        <is>
          <t>zak-butters</t>
        </is>
      </c>
      <c r="B9" s="2" t="inlineStr">
        <is>
          <t>Zak Butters</t>
        </is>
      </c>
      <c r="C9" s="2" t="inlineStr">
        <is>
          <t>Port Adelaide</t>
        </is>
      </c>
      <c r="D9" s="2" t="inlineStr">
        <is>
          <t>MID</t>
        </is>
      </c>
      <c r="E9" s="2" t="n">
        <v>26</v>
      </c>
      <c r="F9" s="2" t="inlineStr">
        <is>
          <t>National pick 12</t>
        </is>
      </c>
      <c r="G9" s="3" t="n">
        <v>7185</v>
      </c>
      <c r="H9" s="3" t="n">
        <v>6317</v>
      </c>
      <c r="I9" s="3">
        <f>H9-G9</f>
        <v/>
      </c>
      <c r="J9" s="4">
        <f>IF(G9=0,"",(H9-G9)/G9)</f>
        <v/>
      </c>
      <c r="K9" s="4">
        <f>IF(G9=0,"",(H9-G9*0.891738)/(G9*0.891738))</f>
        <v/>
      </c>
      <c r="L9" s="3" t="n">
        <v>-100</v>
      </c>
      <c r="M9" s="3" t="n">
        <v>0</v>
      </c>
      <c r="N9" s="3" t="n">
        <v>-768</v>
      </c>
      <c r="O9" s="3" t="n">
        <v>0</v>
      </c>
      <c r="P9" s="3" t="n">
        <v>0</v>
      </c>
      <c r="Q9" s="3">
        <f>SUM(L9:P9)-I9</f>
        <v/>
      </c>
    </row>
    <row r="10">
      <c r="A10" s="2" t="inlineStr">
        <is>
          <t>josh-treacy</t>
        </is>
      </c>
      <c r="B10" s="2" t="inlineStr">
        <is>
          <t>Josh Treacy</t>
        </is>
      </c>
      <c r="C10" s="2" t="inlineStr">
        <is>
          <t>Fremantle</t>
        </is>
      </c>
      <c r="D10" s="2" t="inlineStr">
        <is>
          <t>KPF</t>
        </is>
      </c>
      <c r="E10" s="2" t="n">
        <v>24</v>
      </c>
      <c r="F10" s="2" t="inlineStr">
        <is>
          <t>Rookie pick 4</t>
        </is>
      </c>
      <c r="G10" s="3" t="n">
        <v>7018</v>
      </c>
      <c r="H10" s="3" t="n">
        <v>6067</v>
      </c>
      <c r="I10" s="3">
        <f>H10-G10</f>
        <v/>
      </c>
      <c r="J10" s="4">
        <f>IF(G10=0,"",(H10-G10)/G10)</f>
        <v/>
      </c>
      <c r="K10" s="4">
        <f>IF(G10=0,"",(H10-G10*0.891738)/(G10*0.891738))</f>
        <v/>
      </c>
      <c r="L10" s="3" t="n">
        <v>-115</v>
      </c>
      <c r="M10" s="3" t="n">
        <v>-100</v>
      </c>
      <c r="N10" s="3" t="n">
        <v>-736</v>
      </c>
      <c r="O10" s="3" t="n">
        <v>0</v>
      </c>
      <c r="P10" s="3" t="n">
        <v>0</v>
      </c>
      <c r="Q10" s="3">
        <f>SUM(L10:P10)-I10</f>
        <v/>
      </c>
    </row>
    <row r="11">
      <c r="A11" s="2" t="inlineStr">
        <is>
          <t>bodhi-uwland</t>
        </is>
      </c>
      <c r="B11" s="2" t="inlineStr">
        <is>
          <t>Bodhi Uwland</t>
        </is>
      </c>
      <c r="C11" s="2" t="inlineStr">
        <is>
          <t>Gold Coast</t>
        </is>
      </c>
      <c r="D11" s="2" t="inlineStr">
        <is>
          <t>SD</t>
        </is>
      </c>
      <c r="E11" s="2" t="n">
        <v>23</v>
      </c>
      <c r="F11" s="2" t="inlineStr">
        <is>
          <t>Post-Draft - Academy (pool)</t>
        </is>
      </c>
      <c r="G11" s="3" t="n">
        <v>4137</v>
      </c>
      <c r="H11" s="3" t="n">
        <v>3553</v>
      </c>
      <c r="I11" s="3">
        <f>H11-G11</f>
        <v/>
      </c>
      <c r="J11" s="4">
        <f>IF(G11=0,"",(H11-G11)/G11)</f>
        <v/>
      </c>
      <c r="K11" s="4">
        <f>IF(G11=0,"",(H11-G11*0.891738)/(G11*0.891738))</f>
        <v/>
      </c>
      <c r="L11" s="3" t="n">
        <v>-154</v>
      </c>
      <c r="M11" s="3" t="n">
        <v>0</v>
      </c>
      <c r="N11" s="3" t="n">
        <v>-430</v>
      </c>
      <c r="O11" s="3" t="n">
        <v>0</v>
      </c>
      <c r="P11" s="3" t="n">
        <v>0</v>
      </c>
      <c r="Q11" s="3">
        <f>SUM(L11:P11)-I11</f>
        <v/>
      </c>
    </row>
    <row r="12">
      <c r="A12" s="2" t="inlineStr">
        <is>
          <t>noah-anderson</t>
        </is>
      </c>
      <c r="B12" s="2" t="inlineStr">
        <is>
          <t>Noah Anderson</t>
        </is>
      </c>
      <c r="C12" s="2" t="inlineStr">
        <is>
          <t>Gold Coast</t>
        </is>
      </c>
      <c r="D12" s="2" t="inlineStr">
        <is>
          <t>MID</t>
        </is>
      </c>
      <c r="E12" s="2" t="n">
        <v>25</v>
      </c>
      <c r="F12" s="2" t="inlineStr">
        <is>
          <t>National pick 2</t>
        </is>
      </c>
      <c r="G12" s="3" t="n">
        <v>5776</v>
      </c>
      <c r="H12" s="3" t="n">
        <v>5076</v>
      </c>
      <c r="I12" s="3">
        <f>H12-G12</f>
        <v/>
      </c>
      <c r="J12" s="4">
        <f>IF(G12=0,"",(H12-G12)/G12)</f>
        <v/>
      </c>
      <c r="K12" s="4">
        <f>IF(G12=0,"",(H12-G12*0.891738)/(G12*0.891738))</f>
        <v/>
      </c>
      <c r="L12" s="3" t="n">
        <v>-84</v>
      </c>
      <c r="M12" s="3" t="n">
        <v>0</v>
      </c>
      <c r="N12" s="3" t="n">
        <v>-616</v>
      </c>
      <c r="O12" s="3" t="n">
        <v>0</v>
      </c>
      <c r="P12" s="3" t="n">
        <v>0</v>
      </c>
      <c r="Q12" s="3">
        <f>SUM(L12:P12)-I12</f>
        <v/>
      </c>
    </row>
    <row r="13">
      <c r="A13" s="2" t="inlineStr">
        <is>
          <t>jason-horne-francis</t>
        </is>
      </c>
      <c r="B13" s="2" t="inlineStr">
        <is>
          <t>Jason Horne-Francis</t>
        </is>
      </c>
      <c r="C13" s="2" t="inlineStr">
        <is>
          <t>Port Adelaide</t>
        </is>
      </c>
      <c r="D13" s="2" t="inlineStr">
        <is>
          <t>MID</t>
        </is>
      </c>
      <c r="E13" s="2" t="n">
        <v>23</v>
      </c>
      <c r="F13" s="2" t="inlineStr">
        <is>
          <t>National pick 1</t>
        </is>
      </c>
      <c r="G13" s="3" t="n">
        <v>6200</v>
      </c>
      <c r="H13" s="3" t="n">
        <v>5452</v>
      </c>
      <c r="I13" s="3">
        <f>H13-G13</f>
        <v/>
      </c>
      <c r="J13" s="4">
        <f>IF(G13=0,"",(H13-G13)/G13)</f>
        <v/>
      </c>
      <c r="K13" s="4">
        <f>IF(G13=0,"",(H13-G13*0.891738)/(G13*0.891738))</f>
        <v/>
      </c>
      <c r="L13" s="3" t="n">
        <v>-85</v>
      </c>
      <c r="M13" s="3" t="n">
        <v>0</v>
      </c>
      <c r="N13" s="3" t="n">
        <v>-663</v>
      </c>
      <c r="O13" s="3" t="n">
        <v>0</v>
      </c>
      <c r="P13" s="3" t="n">
        <v>0</v>
      </c>
      <c r="Q13" s="3">
        <f>SUM(L13:P13)-I13</f>
        <v/>
      </c>
    </row>
    <row r="14">
      <c r="A14" s="2" t="inlineStr">
        <is>
          <t>riley-thilthorpe</t>
        </is>
      </c>
      <c r="B14" s="2" t="inlineStr">
        <is>
          <t>Riley Thilthorpe</t>
        </is>
      </c>
      <c r="C14" s="2" t="inlineStr">
        <is>
          <t>Adelaide</t>
        </is>
      </c>
      <c r="D14" s="2" t="inlineStr">
        <is>
          <t>KPF</t>
        </is>
      </c>
      <c r="E14" s="2" t="n">
        <v>24</v>
      </c>
      <c r="F14" s="2" t="inlineStr">
        <is>
          <t>National pick 2</t>
        </is>
      </c>
      <c r="G14" s="3" t="n">
        <v>4840</v>
      </c>
      <c r="H14" s="3" t="n">
        <v>4132</v>
      </c>
      <c r="I14" s="3">
        <f>H14-G14</f>
        <v/>
      </c>
      <c r="J14" s="4">
        <f>IF(G14=0,"",(H14-G14)/G14)</f>
        <v/>
      </c>
      <c r="K14" s="4">
        <f>IF(G14=0,"",(H14-G14*0.891738)/(G14*0.891738))</f>
        <v/>
      </c>
      <c r="L14" s="3" t="n">
        <v>-65</v>
      </c>
      <c r="M14" s="3" t="n">
        <v>-142</v>
      </c>
      <c r="N14" s="3" t="n">
        <v>-501</v>
      </c>
      <c r="O14" s="3" t="n">
        <v>0</v>
      </c>
      <c r="P14" s="3" t="n">
        <v>0</v>
      </c>
      <c r="Q14" s="3">
        <f>SUM(L14:P14)-I14</f>
        <v/>
      </c>
    </row>
    <row r="15">
      <c r="A15" s="2" t="inlineStr">
        <is>
          <t>tristan-xerri</t>
        </is>
      </c>
      <c r="B15" s="2" t="inlineStr">
        <is>
          <t>Tristan Xerri</t>
        </is>
      </c>
      <c r="C15" s="2" t="inlineStr">
        <is>
          <t>North Melbourne</t>
        </is>
      </c>
      <c r="D15" s="2" t="inlineStr">
        <is>
          <t>RUCK</t>
        </is>
      </c>
      <c r="E15" s="2" t="n">
        <v>27</v>
      </c>
      <c r="F15" s="2" t="inlineStr">
        <is>
          <t>National pick 71</t>
        </is>
      </c>
      <c r="G15" s="3" t="n">
        <v>8109</v>
      </c>
      <c r="H15" s="3" t="n">
        <v>7113</v>
      </c>
      <c r="I15" s="3">
        <f>H15-G15</f>
        <v/>
      </c>
      <c r="J15" s="4">
        <f>IF(G15=0,"",(H15-G15)/G15)</f>
        <v/>
      </c>
      <c r="K15" s="4">
        <f>IF(G15=0,"",(H15-G15*0.891738)/(G15*0.891738))</f>
        <v/>
      </c>
      <c r="L15" s="3" t="n">
        <v>-133</v>
      </c>
      <c r="M15" s="3" t="n">
        <v>0</v>
      </c>
      <c r="N15" s="3" t="n">
        <v>-863</v>
      </c>
      <c r="O15" s="3" t="n">
        <v>0</v>
      </c>
      <c r="P15" s="3" t="n">
        <v>0</v>
      </c>
      <c r="Q15" s="3">
        <f>SUM(L15:P15)-I15</f>
        <v/>
      </c>
    </row>
    <row r="16">
      <c r="A16" s="2" t="inlineStr">
        <is>
          <t>bailey-smith</t>
        </is>
      </c>
      <c r="B16" s="2" t="inlineStr">
        <is>
          <t>Bailey Smith</t>
        </is>
      </c>
      <c r="C16" s="2" t="inlineStr">
        <is>
          <t>Geelong</t>
        </is>
      </c>
      <c r="D16" s="2" t="inlineStr">
        <is>
          <t>MID</t>
        </is>
      </c>
      <c r="E16" s="2" t="n">
        <v>26</v>
      </c>
      <c r="F16" s="2" t="inlineStr">
        <is>
          <t>National pick 7</t>
        </is>
      </c>
      <c r="G16" s="3" t="n">
        <v>6689</v>
      </c>
      <c r="H16" s="3" t="n">
        <v>5882</v>
      </c>
      <c r="I16" s="3">
        <f>H16-G16</f>
        <v/>
      </c>
      <c r="J16" s="4">
        <f>IF(G16=0,"",(H16-G16)/G16)</f>
        <v/>
      </c>
      <c r="K16" s="4">
        <f>IF(G16=0,"",(H16-G16*0.891738)/(G16*0.891738))</f>
        <v/>
      </c>
      <c r="L16" s="3" t="n">
        <v>-94</v>
      </c>
      <c r="M16" s="3" t="n">
        <v>0</v>
      </c>
      <c r="N16" s="3" t="n">
        <v>-713</v>
      </c>
      <c r="O16" s="3" t="n">
        <v>0</v>
      </c>
      <c r="P16" s="3" t="n">
        <v>0</v>
      </c>
      <c r="Q16" s="3">
        <f>SUM(L16:P16)-I16</f>
        <v/>
      </c>
    </row>
    <row r="17">
      <c r="A17" s="2" t="inlineStr">
        <is>
          <t>errol-gulden</t>
        </is>
      </c>
      <c r="B17" s="2" t="inlineStr">
        <is>
          <t>Errol Gulden</t>
        </is>
      </c>
      <c r="C17" s="2" t="inlineStr">
        <is>
          <t>Sydney</t>
        </is>
      </c>
      <c r="D17" s="2" t="inlineStr">
        <is>
          <t>MID</t>
        </is>
      </c>
      <c r="E17" s="2" t="n">
        <v>24</v>
      </c>
      <c r="F17" s="2" t="inlineStr">
        <is>
          <t>National pick 34</t>
        </is>
      </c>
      <c r="G17" s="3" t="n">
        <v>6891</v>
      </c>
      <c r="H17" s="3" t="n">
        <v>6065</v>
      </c>
      <c r="I17" s="3">
        <f>H17-G17</f>
        <v/>
      </c>
      <c r="J17" s="4">
        <f>IF(G17=0,"",(H17-G17)/G17)</f>
        <v/>
      </c>
      <c r="K17" s="4">
        <f>IF(G17=0,"",(H17-G17*0.891738)/(G17*0.891738))</f>
        <v/>
      </c>
      <c r="L17" s="3" t="n">
        <v>-89</v>
      </c>
      <c r="M17" s="3" t="n">
        <v>0</v>
      </c>
      <c r="N17" s="3" t="n">
        <v>-737</v>
      </c>
      <c r="O17" s="3" t="n">
        <v>0</v>
      </c>
      <c r="P17" s="3" t="n">
        <v>0</v>
      </c>
      <c r="Q17" s="3">
        <f>SUM(L17:P17)-I17</f>
        <v/>
      </c>
    </row>
    <row r="18">
      <c r="A18" s="2" t="inlineStr">
        <is>
          <t>finn-callaghan</t>
        </is>
      </c>
      <c r="B18" s="2" t="inlineStr">
        <is>
          <t>Finn Callaghan</t>
        </is>
      </c>
      <c r="C18" s="2" t="inlineStr">
        <is>
          <t>GWS</t>
        </is>
      </c>
      <c r="D18" s="2" t="inlineStr">
        <is>
          <t>MID</t>
        </is>
      </c>
      <c r="E18" s="2" t="n">
        <v>23</v>
      </c>
      <c r="F18" s="2" t="inlineStr">
        <is>
          <t>National pick 3</t>
        </is>
      </c>
      <c r="G18" s="3" t="n">
        <v>6140</v>
      </c>
      <c r="H18" s="3" t="n">
        <v>5403</v>
      </c>
      <c r="I18" s="3">
        <f>H18-G18</f>
        <v/>
      </c>
      <c r="J18" s="4">
        <f>IF(G18=0,"",(H18-G18)/G18)</f>
        <v/>
      </c>
      <c r="K18" s="4">
        <f>IF(G18=0,"",(H18-G18*0.891738)/(G18*0.891738))</f>
        <v/>
      </c>
      <c r="L18" s="3" t="n">
        <v>-81</v>
      </c>
      <c r="M18" s="3" t="n">
        <v>0</v>
      </c>
      <c r="N18" s="3" t="n">
        <v>-656</v>
      </c>
      <c r="O18" s="3" t="n">
        <v>0</v>
      </c>
      <c r="P18" s="3" t="n">
        <v>0</v>
      </c>
      <c r="Q18" s="3">
        <f>SUM(L18:P18)-I18</f>
        <v/>
      </c>
    </row>
    <row r="19">
      <c r="A19" s="2" t="inlineStr">
        <is>
          <t>mac-andrew</t>
        </is>
      </c>
      <c r="B19" s="2" t="inlineStr">
        <is>
          <t>Mac Andrew</t>
        </is>
      </c>
      <c r="C19" s="2" t="inlineStr">
        <is>
          <t>Gold Coast</t>
        </is>
      </c>
      <c r="D19" s="2" t="inlineStr">
        <is>
          <t>KPD</t>
        </is>
      </c>
      <c r="E19" s="2" t="n">
        <v>23</v>
      </c>
      <c r="F19" s="2" t="inlineStr">
        <is>
          <t>National pick 5</t>
        </is>
      </c>
      <c r="G19" s="3" t="n">
        <v>4223</v>
      </c>
      <c r="H19" s="3" t="n">
        <v>3695</v>
      </c>
      <c r="I19" s="3">
        <f>H19-G19</f>
        <v/>
      </c>
      <c r="J19" s="4">
        <f>IF(G19=0,"",(H19-G19)/G19)</f>
        <v/>
      </c>
      <c r="K19" s="4">
        <f>IF(G19=0,"",(H19-G19*0.891738)/(G19*0.891738))</f>
        <v/>
      </c>
      <c r="L19" s="3" t="n">
        <v>-79</v>
      </c>
      <c r="M19" s="3" t="n">
        <v>0</v>
      </c>
      <c r="N19" s="3" t="n">
        <v>-449</v>
      </c>
      <c r="O19" s="3" t="n">
        <v>0</v>
      </c>
      <c r="P19" s="3" t="n">
        <v>0</v>
      </c>
      <c r="Q19" s="3">
        <f>SUM(L19:P19)-I19</f>
        <v/>
      </c>
    </row>
    <row r="20">
      <c r="A20" s="2" t="inlineStr">
        <is>
          <t>nick-watson</t>
        </is>
      </c>
      <c r="B20" s="2" t="inlineStr">
        <is>
          <t>Nick Watson</t>
        </is>
      </c>
      <c r="C20" s="2" t="inlineStr">
        <is>
          <t>Hawthorn</t>
        </is>
      </c>
      <c r="D20" s="2" t="inlineStr">
        <is>
          <t>SF</t>
        </is>
      </c>
      <c r="E20" s="2" t="n">
        <v>21</v>
      </c>
      <c r="F20" s="2" t="inlineStr">
        <is>
          <t>National pick 5</t>
        </is>
      </c>
      <c r="G20" s="3" t="n">
        <v>4212</v>
      </c>
      <c r="H20" s="3" t="n">
        <v>3649</v>
      </c>
      <c r="I20" s="3">
        <f>H20-G20</f>
        <v/>
      </c>
      <c r="J20" s="4">
        <f>IF(G20=0,"",(H20-G20)/G20)</f>
        <v/>
      </c>
      <c r="K20" s="4">
        <f>IF(G20=0,"",(H20-G20*0.891738)/(G20*0.891738))</f>
        <v/>
      </c>
      <c r="L20" s="3" t="n">
        <v>-120</v>
      </c>
      <c r="M20" s="3" t="n">
        <v>0</v>
      </c>
      <c r="N20" s="3" t="n">
        <v>-443</v>
      </c>
      <c r="O20" s="3" t="n">
        <v>0</v>
      </c>
      <c r="P20" s="3" t="n">
        <v>0</v>
      </c>
      <c r="Q20" s="3">
        <f>SUM(L20:P20)-I20</f>
        <v/>
      </c>
    </row>
    <row r="21">
      <c r="A21" s="2" t="inlineStr">
        <is>
          <t>harry-dean</t>
        </is>
      </c>
      <c r="B21" s="2" t="inlineStr">
        <is>
          <t>Harry Dean</t>
        </is>
      </c>
      <c r="C21" s="2" t="inlineStr">
        <is>
          <t>Carlton</t>
        </is>
      </c>
      <c r="D21" s="2" t="inlineStr">
        <is>
          <t>KPD</t>
        </is>
      </c>
      <c r="E21" s="2" t="n">
        <v>19</v>
      </c>
      <c r="F21" s="2" t="inlineStr">
        <is>
          <t>National pick 3</t>
        </is>
      </c>
      <c r="G21" s="3" t="n">
        <v>2660</v>
      </c>
      <c r="H21" s="3" t="n">
        <v>2044</v>
      </c>
      <c r="I21" s="3">
        <f>H21-G21</f>
        <v/>
      </c>
      <c r="J21" s="4">
        <f>IF(G21=0,"",(H21-G21)/G21)</f>
        <v/>
      </c>
      <c r="K21" s="4">
        <f>IF(G21=0,"",(H21-G21*0.891738)/(G21*0.891738))</f>
        <v/>
      </c>
      <c r="L21" s="3" t="n">
        <v>-367</v>
      </c>
      <c r="M21" s="3" t="n">
        <v>0</v>
      </c>
      <c r="N21" s="3" t="n">
        <v>-249</v>
      </c>
      <c r="O21" s="3" t="n">
        <v>0</v>
      </c>
      <c r="P21" s="3" t="n">
        <v>0</v>
      </c>
      <c r="Q21" s="3">
        <f>SUM(L21:P21)-I21</f>
        <v/>
      </c>
    </row>
    <row r="22">
      <c r="A22" s="2" t="inlineStr">
        <is>
          <t>lachlan-ash</t>
        </is>
      </c>
      <c r="B22" s="2" t="inlineStr">
        <is>
          <t>Lachlan Ash</t>
        </is>
      </c>
      <c r="C22" s="2" t="inlineStr">
        <is>
          <t>GWS</t>
        </is>
      </c>
      <c r="D22" s="2" t="inlineStr">
        <is>
          <t>SD</t>
        </is>
      </c>
      <c r="E22" s="2" t="n">
        <v>25</v>
      </c>
      <c r="F22" s="2" t="inlineStr">
        <is>
          <t>National pick 4</t>
        </is>
      </c>
      <c r="G22" s="3" t="n">
        <v>6130</v>
      </c>
      <c r="H22" s="3" t="n">
        <v>5392</v>
      </c>
      <c r="I22" s="3">
        <f>H22-G22</f>
        <v/>
      </c>
      <c r="J22" s="4">
        <f>IF(G22=0,"",(H22-G22)/G22)</f>
        <v/>
      </c>
      <c r="K22" s="4">
        <f>IF(G22=0,"",(H22-G22*0.891738)/(G22*0.891738))</f>
        <v/>
      </c>
      <c r="L22" s="3" t="n">
        <v>-84</v>
      </c>
      <c r="M22" s="3" t="n">
        <v>0</v>
      </c>
      <c r="N22" s="3" t="n">
        <v>-654</v>
      </c>
      <c r="O22" s="3" t="n">
        <v>0</v>
      </c>
      <c r="P22" s="3" t="n">
        <v>0</v>
      </c>
      <c r="Q22" s="3">
        <f>SUM(L22:P22)-I22</f>
        <v/>
      </c>
    </row>
    <row r="23">
      <c r="A23" s="2" t="inlineStr">
        <is>
          <t>willem-duursma</t>
        </is>
      </c>
      <c r="B23" s="2" t="inlineStr">
        <is>
          <t>Willem Duursma</t>
        </is>
      </c>
      <c r="C23" s="2" t="inlineStr">
        <is>
          <t>West Coast</t>
        </is>
      </c>
      <c r="D23" s="2" t="inlineStr">
        <is>
          <t>MID</t>
        </is>
      </c>
      <c r="E23" s="2" t="n">
        <v>19</v>
      </c>
      <c r="F23" s="2" t="inlineStr">
        <is>
          <t>National pick 1</t>
        </is>
      </c>
      <c r="G23" s="3" t="n">
        <v>4338</v>
      </c>
      <c r="H23" s="3" t="n">
        <v>3834</v>
      </c>
      <c r="I23" s="3">
        <f>H23-G23</f>
        <v/>
      </c>
      <c r="J23" s="4">
        <f>IF(G23=0,"",(H23-G23)/G23)</f>
        <v/>
      </c>
      <c r="K23" s="4">
        <f>IF(G23=0,"",(H23-G23*0.891738)/(G23*0.891738))</f>
        <v/>
      </c>
      <c r="L23" s="3" t="n">
        <v>-38</v>
      </c>
      <c r="M23" s="3" t="n">
        <v>0</v>
      </c>
      <c r="N23" s="3" t="n">
        <v>-466</v>
      </c>
      <c r="O23" s="3" t="n">
        <v>0</v>
      </c>
      <c r="P23" s="3" t="n">
        <v>0</v>
      </c>
      <c r="Q23" s="3">
        <f>SUM(L23:P23)-I23</f>
        <v/>
      </c>
    </row>
    <row r="24">
      <c r="A24" s="2" t="inlineStr">
        <is>
          <t>sam-darcy</t>
        </is>
      </c>
      <c r="B24" s="2" t="inlineStr">
        <is>
          <t>Sam Darcy</t>
        </is>
      </c>
      <c r="C24" s="2" t="inlineStr">
        <is>
          <t>Western Bulldogs</t>
        </is>
      </c>
      <c r="D24" s="2" t="inlineStr">
        <is>
          <t>KPF</t>
        </is>
      </c>
      <c r="E24" s="2" t="n">
        <v>23</v>
      </c>
      <c r="F24" s="2" t="inlineStr">
        <is>
          <t>National pick 2</t>
        </is>
      </c>
      <c r="G24" s="3" t="n">
        <v>5356</v>
      </c>
      <c r="H24" s="3" t="n">
        <v>4609</v>
      </c>
      <c r="I24" s="3">
        <f>H24-G24</f>
        <v/>
      </c>
      <c r="J24" s="4">
        <f>IF(G24=0,"",(H24-G24)/G24)</f>
        <v/>
      </c>
      <c r="K24" s="4">
        <f>IF(G24=0,"",(H24-G24*0.891738)/(G24*0.891738))</f>
        <v/>
      </c>
      <c r="L24" s="3" t="n">
        <v>-115</v>
      </c>
      <c r="M24" s="3" t="n">
        <v>-72</v>
      </c>
      <c r="N24" s="3" t="n">
        <v>-560</v>
      </c>
      <c r="O24" s="3" t="n">
        <v>0</v>
      </c>
      <c r="P24" s="3" t="n">
        <v>0</v>
      </c>
      <c r="Q24" s="3">
        <f>SUM(L24:P24)-I24</f>
        <v/>
      </c>
    </row>
    <row r="25">
      <c r="A25" s="2" t="inlineStr">
        <is>
          <t>caleb-serong</t>
        </is>
      </c>
      <c r="B25" s="2" t="inlineStr">
        <is>
          <t>Caleb Serong</t>
        </is>
      </c>
      <c r="C25" s="2" t="inlineStr">
        <is>
          <t>Fremantle</t>
        </is>
      </c>
      <c r="D25" s="2" t="inlineStr">
        <is>
          <t>MID</t>
        </is>
      </c>
      <c r="E25" s="2" t="n">
        <v>25</v>
      </c>
      <c r="F25" s="2" t="inlineStr">
        <is>
          <t>National pick 8</t>
        </is>
      </c>
      <c r="G25" s="3" t="n">
        <v>5132</v>
      </c>
      <c r="H25" s="3" t="n">
        <v>4513</v>
      </c>
      <c r="I25" s="3">
        <f>H25-G25</f>
        <v/>
      </c>
      <c r="J25" s="4">
        <f>IF(G25=0,"",(H25-G25)/G25)</f>
        <v/>
      </c>
      <c r="K25" s="4">
        <f>IF(G25=0,"",(H25-G25*0.891738)/(G25*0.891738))</f>
        <v/>
      </c>
      <c r="L25" s="3" t="n">
        <v>-72</v>
      </c>
      <c r="M25" s="3" t="n">
        <v>0</v>
      </c>
      <c r="N25" s="3" t="n">
        <v>-547</v>
      </c>
      <c r="O25" s="3" t="n">
        <v>0</v>
      </c>
      <c r="P25" s="3" t="n">
        <v>0</v>
      </c>
      <c r="Q25" s="3">
        <f>SUM(L25:P25)-I25</f>
        <v/>
      </c>
    </row>
    <row r="26">
      <c r="A26" s="2" t="inlineStr">
        <is>
          <t>murphy-reid</t>
        </is>
      </c>
      <c r="B26" s="2" t="inlineStr">
        <is>
          <t>Murphy Reid</t>
        </is>
      </c>
      <c r="C26" s="2" t="inlineStr">
        <is>
          <t>Fremantle</t>
        </is>
      </c>
      <c r="D26" s="2" t="inlineStr">
        <is>
          <t>SF</t>
        </is>
      </c>
      <c r="E26" s="2" t="n">
        <v>20</v>
      </c>
      <c r="F26" s="2" t="inlineStr">
        <is>
          <t>National pick 17</t>
        </is>
      </c>
      <c r="G26" s="3" t="n">
        <v>4441</v>
      </c>
      <c r="H26" s="3" t="n">
        <v>3842</v>
      </c>
      <c r="I26" s="3">
        <f>H26-G26</f>
        <v/>
      </c>
      <c r="J26" s="4">
        <f>IF(G26=0,"",(H26-G26)/G26)</f>
        <v/>
      </c>
      <c r="K26" s="4">
        <f>IF(G26=0,"",(H26-G26*0.891738)/(G26*0.891738))</f>
        <v/>
      </c>
      <c r="L26" s="3" t="n">
        <v>-133</v>
      </c>
      <c r="M26" s="3" t="n">
        <v>0</v>
      </c>
      <c r="N26" s="3" t="n">
        <v>-466</v>
      </c>
      <c r="O26" s="3" t="n">
        <v>0</v>
      </c>
      <c r="P26" s="3" t="n">
        <v>0</v>
      </c>
      <c r="Q26" s="3">
        <f>SUM(L26:P26)-I26</f>
        <v/>
      </c>
    </row>
    <row r="27">
      <c r="A27" s="2" t="inlineStr">
        <is>
          <t>jai-newcombe</t>
        </is>
      </c>
      <c r="B27" s="2" t="inlineStr">
        <is>
          <t>Jai Newcombe</t>
        </is>
      </c>
      <c r="C27" s="2" t="inlineStr">
        <is>
          <t>Hawthorn</t>
        </is>
      </c>
      <c r="D27" s="2" t="inlineStr">
        <is>
          <t>MID</t>
        </is>
      </c>
      <c r="E27" s="2" t="n">
        <v>25</v>
      </c>
      <c r="F27" s="2" t="inlineStr">
        <is>
          <t>Mid-Season pick 2</t>
        </is>
      </c>
      <c r="G27" s="3" t="n">
        <v>4922</v>
      </c>
      <c r="H27" s="3" t="n">
        <v>4321</v>
      </c>
      <c r="I27" s="3">
        <f>H27-G27</f>
        <v/>
      </c>
      <c r="J27" s="4">
        <f>IF(G27=0,"",(H27-G27)/G27)</f>
        <v/>
      </c>
      <c r="K27" s="4">
        <f>IF(G27=0,"",(H27-G27*0.891738)/(G27*0.891738))</f>
        <v/>
      </c>
      <c r="L27" s="3" t="n">
        <v>-76</v>
      </c>
      <c r="M27" s="3" t="n">
        <v>0</v>
      </c>
      <c r="N27" s="3" t="n">
        <v>-525</v>
      </c>
      <c r="O27" s="3" t="n">
        <v>0</v>
      </c>
      <c r="P27" s="3" t="n">
        <v>0</v>
      </c>
      <c r="Q27" s="3">
        <f>SUM(L27:P27)-I27</f>
        <v/>
      </c>
    </row>
    <row r="28">
      <c r="A28" s="2" t="inlineStr">
        <is>
          <t>jake-bowey</t>
        </is>
      </c>
      <c r="B28" s="2" t="inlineStr">
        <is>
          <t>Jake Bowey</t>
        </is>
      </c>
      <c r="C28" s="2" t="inlineStr">
        <is>
          <t>Melbourne</t>
        </is>
      </c>
      <c r="D28" s="2" t="inlineStr">
        <is>
          <t>SD</t>
        </is>
      </c>
      <c r="E28" s="2" t="n">
        <v>24</v>
      </c>
      <c r="F28" s="2" t="inlineStr">
        <is>
          <t>National pick 22</t>
        </is>
      </c>
      <c r="G28" s="3" t="n">
        <v>4386</v>
      </c>
      <c r="H28" s="3" t="n">
        <v>3861</v>
      </c>
      <c r="I28" s="3">
        <f>H28-G28</f>
        <v/>
      </c>
      <c r="J28" s="4">
        <f>IF(G28=0,"",(H28-G28)/G28)</f>
        <v/>
      </c>
      <c r="K28" s="4">
        <f>IF(G28=0,"",(H28-G28*0.891738)/(G28*0.891738))</f>
        <v/>
      </c>
      <c r="L28" s="3" t="n">
        <v>-57</v>
      </c>
      <c r="M28" s="3" t="n">
        <v>0</v>
      </c>
      <c r="N28" s="3" t="n">
        <v>-468</v>
      </c>
      <c r="O28" s="3" t="n">
        <v>0</v>
      </c>
      <c r="P28" s="3" t="n">
        <v>0</v>
      </c>
      <c r="Q28" s="3">
        <f>SUM(L28:P28)-I28</f>
        <v/>
      </c>
    </row>
    <row r="29">
      <c r="A29" s="2" t="inlineStr">
        <is>
          <t>matt-rowell</t>
        </is>
      </c>
      <c r="B29" s="2" t="inlineStr">
        <is>
          <t>Matt Rowell</t>
        </is>
      </c>
      <c r="C29" s="2" t="inlineStr">
        <is>
          <t>Gold Coast</t>
        </is>
      </c>
      <c r="D29" s="2" t="inlineStr">
        <is>
          <t>MID</t>
        </is>
      </c>
      <c r="E29" s="2" t="n">
        <v>25</v>
      </c>
      <c r="F29" s="2" t="inlineStr">
        <is>
          <t>National pick 1</t>
        </is>
      </c>
      <c r="G29" s="3" t="n">
        <v>4259</v>
      </c>
      <c r="H29" s="3" t="n">
        <v>3745</v>
      </c>
      <c r="I29" s="3">
        <f>H29-G29</f>
        <v/>
      </c>
      <c r="J29" s="4">
        <f>IF(G29=0,"",(H29-G29)/G29)</f>
        <v/>
      </c>
      <c r="K29" s="4">
        <f>IF(G29=0,"",(H29-G29*0.891738)/(G29*0.891738))</f>
        <v/>
      </c>
      <c r="L29" s="3" t="n">
        <v>-60</v>
      </c>
      <c r="M29" s="3" t="n">
        <v>0</v>
      </c>
      <c r="N29" s="3" t="n">
        <v>-454</v>
      </c>
      <c r="O29" s="3" t="n">
        <v>0</v>
      </c>
      <c r="P29" s="3" t="n">
        <v>0</v>
      </c>
      <c r="Q29" s="3">
        <f>SUM(L29:P29)-I29</f>
        <v/>
      </c>
    </row>
    <row r="30">
      <c r="A30" s="2" t="inlineStr">
        <is>
          <t>sam-lalor</t>
        </is>
      </c>
      <c r="B30" s="2" t="inlineStr">
        <is>
          <t>Sam Lalor</t>
        </is>
      </c>
      <c r="C30" s="2" t="inlineStr">
        <is>
          <t>Richmond</t>
        </is>
      </c>
      <c r="D30" s="2" t="inlineStr">
        <is>
          <t>MID</t>
        </is>
      </c>
      <c r="E30" s="2" t="n">
        <v>20</v>
      </c>
      <c r="F30" s="2" t="inlineStr">
        <is>
          <t>National pick 1</t>
        </is>
      </c>
      <c r="G30" s="3" t="n">
        <v>4638</v>
      </c>
      <c r="H30" s="3" t="n">
        <v>4116</v>
      </c>
      <c r="I30" s="3">
        <f>H30-G30</f>
        <v/>
      </c>
      <c r="J30" s="4">
        <f>IF(G30=0,"",(H30-G30)/G30)</f>
        <v/>
      </c>
      <c r="K30" s="4">
        <f>IF(G30=0,"",(H30-G30*0.891738)/(G30*0.891738))</f>
        <v/>
      </c>
      <c r="L30" s="3" t="n">
        <v>-22</v>
      </c>
      <c r="M30" s="3" t="n">
        <v>0</v>
      </c>
      <c r="N30" s="3" t="n">
        <v>-500</v>
      </c>
      <c r="O30" s="3" t="n">
        <v>0</v>
      </c>
      <c r="P30" s="3" t="n">
        <v>0</v>
      </c>
      <c r="Q30" s="3">
        <f>SUM(L30:P30)-I30</f>
        <v/>
      </c>
    </row>
    <row r="31">
      <c r="A31" s="2" t="inlineStr">
        <is>
          <t>brodie-grundy</t>
        </is>
      </c>
      <c r="B31" s="2" t="inlineStr">
        <is>
          <t>Brodie Grundy</t>
        </is>
      </c>
      <c r="C31" s="2" t="inlineStr">
        <is>
          <t>Sydney</t>
        </is>
      </c>
      <c r="D31" s="2" t="inlineStr">
        <is>
          <t>RUCK</t>
        </is>
      </c>
      <c r="E31" s="2" t="n">
        <v>32</v>
      </c>
      <c r="F31" s="2" t="inlineStr">
        <is>
          <t>National pick 22</t>
        </is>
      </c>
      <c r="G31" s="3" t="n">
        <v>4559</v>
      </c>
      <c r="H31" s="3" t="n">
        <v>4010</v>
      </c>
      <c r="I31" s="3">
        <f>H31-G31</f>
        <v/>
      </c>
      <c r="J31" s="4">
        <f>IF(G31=0,"",(H31-G31)/G31)</f>
        <v/>
      </c>
      <c r="K31" s="4">
        <f>IF(G31=0,"",(H31-G31*0.891738)/(G31*0.891738))</f>
        <v/>
      </c>
      <c r="L31" s="3" t="n">
        <v>-63</v>
      </c>
      <c r="M31" s="3" t="n">
        <v>0</v>
      </c>
      <c r="N31" s="3" t="n">
        <v>-486</v>
      </c>
      <c r="O31" s="3" t="n">
        <v>0</v>
      </c>
      <c r="P31" s="3" t="n">
        <v>0</v>
      </c>
      <c r="Q31" s="3">
        <f>SUM(L31:P31)-I31</f>
        <v/>
      </c>
    </row>
    <row r="32">
      <c r="A32" s="2" t="inlineStr">
        <is>
          <t>harley-reid</t>
        </is>
      </c>
      <c r="B32" s="2" t="inlineStr">
        <is>
          <t>Harley Reid</t>
        </is>
      </c>
      <c r="C32" s="2" t="inlineStr">
        <is>
          <t>West Coast</t>
        </is>
      </c>
      <c r="D32" s="2" t="inlineStr">
        <is>
          <t>MID</t>
        </is>
      </c>
      <c r="E32" s="2" t="n">
        <v>21</v>
      </c>
      <c r="F32" s="2" t="inlineStr">
        <is>
          <t>National pick 1</t>
        </is>
      </c>
      <c r="G32" s="3" t="n">
        <v>3811</v>
      </c>
      <c r="H32" s="3" t="n">
        <v>3401</v>
      </c>
      <c r="I32" s="3">
        <f>H32-G32</f>
        <v/>
      </c>
      <c r="J32" s="4">
        <f>IF(G32=0,"",(H32-G32)/G32)</f>
        <v/>
      </c>
      <c r="K32" s="4">
        <f>IF(G32=0,"",(H32-G32*0.891738)/(G32*0.891738))</f>
        <v/>
      </c>
      <c r="L32" s="3" t="n">
        <v>3</v>
      </c>
      <c r="M32" s="3" t="n">
        <v>0</v>
      </c>
      <c r="N32" s="3" t="n">
        <v>-413</v>
      </c>
      <c r="O32" s="3" t="n">
        <v>0</v>
      </c>
      <c r="P32" s="3" t="n">
        <v>0</v>
      </c>
      <c r="Q32" s="3">
        <f>SUM(L32:P32)-I32</f>
        <v/>
      </c>
    </row>
    <row r="33">
      <c r="A33" s="2" t="inlineStr">
        <is>
          <t>jagga-smith</t>
        </is>
      </c>
      <c r="B33" s="2" t="inlineStr">
        <is>
          <t>Jagga Smith</t>
        </is>
      </c>
      <c r="C33" s="2" t="inlineStr">
        <is>
          <t>Carlton</t>
        </is>
      </c>
      <c r="D33" s="2" t="inlineStr">
        <is>
          <t>MID</t>
        </is>
      </c>
      <c r="E33" s="2" t="n">
        <v>20</v>
      </c>
      <c r="F33" s="2" t="inlineStr">
        <is>
          <t>National pick 3</t>
        </is>
      </c>
      <c r="G33" s="3" t="n">
        <v>5086</v>
      </c>
      <c r="H33" s="3" t="n">
        <v>4542</v>
      </c>
      <c r="I33" s="3">
        <f>H33-G33</f>
        <v/>
      </c>
      <c r="J33" s="4">
        <f>IF(G33=0,"",(H33-G33)/G33)</f>
        <v/>
      </c>
      <c r="K33" s="4">
        <f>IF(G33=0,"",(H33-G33*0.891738)/(G33*0.891738))</f>
        <v/>
      </c>
      <c r="L33" s="3" t="n">
        <v>8</v>
      </c>
      <c r="M33" s="3" t="n">
        <v>0</v>
      </c>
      <c r="N33" s="3" t="n">
        <v>-552</v>
      </c>
      <c r="O33" s="3" t="n">
        <v>0</v>
      </c>
      <c r="P33" s="3" t="n">
        <v>0</v>
      </c>
      <c r="Q33" s="3">
        <f>SUM(L33:P33)-I33</f>
        <v/>
      </c>
    </row>
    <row r="34">
      <c r="A34" s="2" t="inlineStr">
        <is>
          <t>darcy-wilson</t>
        </is>
      </c>
      <c r="B34" s="2" t="inlineStr">
        <is>
          <t>Darcy Wilson</t>
        </is>
      </c>
      <c r="C34" s="2" t="inlineStr">
        <is>
          <t>St Kilda</t>
        </is>
      </c>
      <c r="D34" s="2" t="inlineStr">
        <is>
          <t>SF</t>
        </is>
      </c>
      <c r="E34" s="2" t="n">
        <v>21</v>
      </c>
      <c r="F34" s="2" t="inlineStr">
        <is>
          <t>National pick 18</t>
        </is>
      </c>
      <c r="G34" s="3" t="n">
        <v>3293</v>
      </c>
      <c r="H34" s="3" t="n">
        <v>2759</v>
      </c>
      <c r="I34" s="3">
        <f>H34-G34</f>
        <v/>
      </c>
      <c r="J34" s="4">
        <f>IF(G34=0,"",(H34-G34)/G34)</f>
        <v/>
      </c>
      <c r="K34" s="4">
        <f>IF(G34=0,"",(H34-G34*0.891738)/(G34*0.891738))</f>
        <v/>
      </c>
      <c r="L34" s="3" t="n">
        <v>-199</v>
      </c>
      <c r="M34" s="3" t="n">
        <v>0</v>
      </c>
      <c r="N34" s="3" t="n">
        <v>-335</v>
      </c>
      <c r="O34" s="3" t="n">
        <v>0</v>
      </c>
      <c r="P34" s="3" t="n">
        <v>0</v>
      </c>
      <c r="Q34" s="3">
        <f>SUM(L34:P34)-I34</f>
        <v/>
      </c>
    </row>
    <row r="35">
      <c r="A35" s="2" t="inlineStr">
        <is>
          <t>marcus-bontempelli</t>
        </is>
      </c>
      <c r="B35" s="2" t="inlineStr">
        <is>
          <t>Marcus Bontempelli</t>
        </is>
      </c>
      <c r="C35" s="2" t="inlineStr">
        <is>
          <t>Western Bulldogs</t>
        </is>
      </c>
      <c r="D35" s="2" t="inlineStr">
        <is>
          <t>MID</t>
        </is>
      </c>
      <c r="E35" s="2" t="n">
        <v>31</v>
      </c>
      <c r="F35" s="2" t="inlineStr">
        <is>
          <t>National pick 4</t>
        </is>
      </c>
      <c r="G35" s="3" t="n">
        <v>3974</v>
      </c>
      <c r="H35" s="3" t="n">
        <v>3493</v>
      </c>
      <c r="I35" s="3">
        <f>H35-G35</f>
        <v/>
      </c>
      <c r="J35" s="4">
        <f>IF(G35=0,"",(H35-G35)/G35)</f>
        <v/>
      </c>
      <c r="K35" s="4">
        <f>IF(G35=0,"",(H35-G35*0.891738)/(G35*0.891738))</f>
        <v/>
      </c>
      <c r="L35" s="3" t="n">
        <v>-56</v>
      </c>
      <c r="M35" s="3" t="n">
        <v>0</v>
      </c>
      <c r="N35" s="3" t="n">
        <v>-425</v>
      </c>
      <c r="O35" s="3" t="n">
        <v>0</v>
      </c>
      <c r="P35" s="3" t="n">
        <v>0</v>
      </c>
      <c r="Q35" s="3">
        <f>SUM(L35:P35)-I35</f>
        <v/>
      </c>
    </row>
    <row r="36">
      <c r="A36" s="2" t="inlineStr">
        <is>
          <t>hugo-garcia</t>
        </is>
      </c>
      <c r="B36" s="2" t="inlineStr">
        <is>
          <t>Hugo Garcia</t>
        </is>
      </c>
      <c r="C36" s="2" t="inlineStr">
        <is>
          <t>St Kilda</t>
        </is>
      </c>
      <c r="D36" s="2" t="inlineStr">
        <is>
          <t>MID</t>
        </is>
      </c>
      <c r="E36" s="2" t="n">
        <v>21</v>
      </c>
      <c r="F36" s="2" t="inlineStr">
        <is>
          <t>National pick 50</t>
        </is>
      </c>
      <c r="G36" s="3" t="n">
        <v>3113</v>
      </c>
      <c r="H36" s="3" t="n">
        <v>2754</v>
      </c>
      <c r="I36" s="3">
        <f>H36-G36</f>
        <v/>
      </c>
      <c r="J36" s="4">
        <f>IF(G36=0,"",(H36-G36)/G36)</f>
        <v/>
      </c>
      <c r="K36" s="4">
        <f>IF(G36=0,"",(H36-G36*0.891738)/(G36*0.891738))</f>
        <v/>
      </c>
      <c r="L36" s="3" t="n">
        <v>-26</v>
      </c>
      <c r="M36" s="3" t="n">
        <v>0</v>
      </c>
      <c r="N36" s="3" t="n">
        <v>-333</v>
      </c>
      <c r="O36" s="3" t="n">
        <v>0</v>
      </c>
      <c r="P36" s="3" t="n">
        <v>0</v>
      </c>
      <c r="Q36" s="3">
        <f>SUM(L36:P36)-I36</f>
        <v/>
      </c>
    </row>
    <row r="37">
      <c r="A37" s="2" t="inlineStr">
        <is>
          <t>sam-durham</t>
        </is>
      </c>
      <c r="B37" s="2" t="inlineStr">
        <is>
          <t>Sam Durham</t>
        </is>
      </c>
      <c r="C37" s="2" t="inlineStr">
        <is>
          <t>Essendon</t>
        </is>
      </c>
      <c r="D37" s="2" t="inlineStr">
        <is>
          <t>MID</t>
        </is>
      </c>
      <c r="E37" s="2" t="n">
        <v>25</v>
      </c>
      <c r="F37" s="2" t="inlineStr">
        <is>
          <t>Mid-Season pick 9</t>
        </is>
      </c>
      <c r="G37" s="3" t="n">
        <v>2667</v>
      </c>
      <c r="H37" s="3" t="n">
        <v>2339</v>
      </c>
      <c r="I37" s="3">
        <f>H37-G37</f>
        <v/>
      </c>
      <c r="J37" s="4">
        <f>IF(G37=0,"",(H37-G37)/G37)</f>
        <v/>
      </c>
      <c r="K37" s="4">
        <f>IF(G37=0,"",(H37-G37*0.891738)/(G37*0.891738))</f>
        <v/>
      </c>
      <c r="L37" s="3" t="n">
        <v>-43</v>
      </c>
      <c r="M37" s="3" t="n">
        <v>0</v>
      </c>
      <c r="N37" s="3" t="n">
        <v>-285</v>
      </c>
      <c r="O37" s="3" t="n">
        <v>0</v>
      </c>
      <c r="P37" s="3" t="n">
        <v>0</v>
      </c>
      <c r="Q37" s="3">
        <f>SUM(L37:P37)-I37</f>
        <v/>
      </c>
    </row>
    <row r="38">
      <c r="A38" s="2" t="inlineStr">
        <is>
          <t>finn-o-sullivan</t>
        </is>
      </c>
      <c r="B38" s="2" t="inlineStr">
        <is>
          <t>Finn O'Sullivan</t>
        </is>
      </c>
      <c r="C38" s="2" t="inlineStr">
        <is>
          <t>North Melbourne</t>
        </is>
      </c>
      <c r="D38" s="2" t="inlineStr">
        <is>
          <t>MID</t>
        </is>
      </c>
      <c r="E38" s="2" t="n">
        <v>20</v>
      </c>
      <c r="F38" s="2" t="inlineStr">
        <is>
          <t>National pick 2</t>
        </is>
      </c>
      <c r="G38" s="3" t="n">
        <v>3642</v>
      </c>
      <c r="H38" s="3" t="n">
        <v>3169</v>
      </c>
      <c r="I38" s="3">
        <f>H38-G38</f>
        <v/>
      </c>
      <c r="J38" s="4">
        <f>IF(G38=0,"",(H38-G38)/G38)</f>
        <v/>
      </c>
      <c r="K38" s="4">
        <f>IF(G38=0,"",(H38-G38*0.891738)/(G38*0.891738))</f>
        <v/>
      </c>
      <c r="L38" s="3" t="n">
        <v>-88</v>
      </c>
      <c r="M38" s="3" t="n">
        <v>0</v>
      </c>
      <c r="N38" s="3" t="n">
        <v>-385</v>
      </c>
      <c r="O38" s="3" t="n">
        <v>0</v>
      </c>
      <c r="P38" s="3" t="n">
        <v>0</v>
      </c>
      <c r="Q38" s="3">
        <f>SUM(L38:P38)-I38</f>
        <v/>
      </c>
    </row>
    <row r="39">
      <c r="A39" s="2" t="inlineStr">
        <is>
          <t>sam-walsh</t>
        </is>
      </c>
      <c r="B39" s="2" t="inlineStr">
        <is>
          <t>Sam Walsh</t>
        </is>
      </c>
      <c r="C39" s="2" t="inlineStr">
        <is>
          <t>Carlton</t>
        </is>
      </c>
      <c r="D39" s="2" t="inlineStr">
        <is>
          <t>MID</t>
        </is>
      </c>
      <c r="E39" s="2" t="n">
        <v>26</v>
      </c>
      <c r="F39" s="2" t="inlineStr">
        <is>
          <t>National pick 1</t>
        </is>
      </c>
      <c r="G39" s="3" t="n">
        <v>3201</v>
      </c>
      <c r="H39" s="3" t="n">
        <v>2815</v>
      </c>
      <c r="I39" s="3">
        <f>H39-G39</f>
        <v/>
      </c>
      <c r="J39" s="4">
        <f>IF(G39=0,"",(H39-G39)/G39)</f>
        <v/>
      </c>
      <c r="K39" s="4">
        <f>IF(G39=0,"",(H39-G39*0.891738)/(G39*0.891738))</f>
        <v/>
      </c>
      <c r="L39" s="3" t="n">
        <v>-44</v>
      </c>
      <c r="M39" s="3" t="n">
        <v>0</v>
      </c>
      <c r="N39" s="3" t="n">
        <v>-342</v>
      </c>
      <c r="O39" s="3" t="n">
        <v>0</v>
      </c>
      <c r="P39" s="3" t="n">
        <v>0</v>
      </c>
      <c r="Q39" s="3">
        <f>SUM(L39:P39)-I39</f>
        <v/>
      </c>
    </row>
    <row r="40">
      <c r="A40" s="2" t="inlineStr">
        <is>
          <t>logan-morris</t>
        </is>
      </c>
      <c r="B40" s="2" t="inlineStr">
        <is>
          <t>Logan Morris</t>
        </is>
      </c>
      <c r="C40" s="2" t="inlineStr">
        <is>
          <t>Brisbane</t>
        </is>
      </c>
      <c r="D40" s="2" t="inlineStr">
        <is>
          <t>KPF</t>
        </is>
      </c>
      <c r="E40" s="2" t="n">
        <v>21</v>
      </c>
      <c r="F40" s="2" t="inlineStr">
        <is>
          <t>National pick 31</t>
        </is>
      </c>
      <c r="G40" s="3" t="n">
        <v>3085</v>
      </c>
      <c r="H40" s="3" t="n">
        <v>2705</v>
      </c>
      <c r="I40" s="3">
        <f>H40-G40</f>
        <v/>
      </c>
      <c r="J40" s="4">
        <f>IF(G40=0,"",(H40-G40)/G40)</f>
        <v/>
      </c>
      <c r="K40" s="4">
        <f>IF(G40=0,"",(H40-G40*0.891738)/(G40*0.891738))</f>
        <v/>
      </c>
      <c r="L40" s="3" t="n">
        <v>-41</v>
      </c>
      <c r="M40" s="3" t="n">
        <v>-10</v>
      </c>
      <c r="N40" s="3" t="n">
        <v>-329</v>
      </c>
      <c r="O40" s="3" t="n">
        <v>0</v>
      </c>
      <c r="P40" s="3" t="n">
        <v>0</v>
      </c>
      <c r="Q40" s="3">
        <f>SUM(L40:P40)-I40</f>
        <v/>
      </c>
    </row>
    <row r="41">
      <c r="A41" s="2" t="inlineStr">
        <is>
          <t>noah-mraz</t>
        </is>
      </c>
      <c r="B41" s="2" t="inlineStr">
        <is>
          <t>Noah Mraz</t>
        </is>
      </c>
      <c r="C41" s="2" t="inlineStr">
        <is>
          <t>Hawthorn</t>
        </is>
      </c>
      <c r="D41" s="2" t="inlineStr">
        <is>
          <t>KPD</t>
        </is>
      </c>
      <c r="E41" s="2" t="n">
        <v>20</v>
      </c>
      <c r="F41" s="2" t="inlineStr">
        <is>
          <t>National pick 35</t>
        </is>
      </c>
      <c r="G41" s="3" t="n">
        <v>3847</v>
      </c>
      <c r="H41" s="3" t="n">
        <v>1585</v>
      </c>
      <c r="I41" s="3">
        <f>H41-G41</f>
        <v/>
      </c>
      <c r="J41" s="4">
        <f>IF(G41=0,"",(H41-G41)/G41)</f>
        <v/>
      </c>
      <c r="K41" s="4">
        <f>IF(G41=0,"",(H41-G41*0.891738)/(G41*0.891738))</f>
        <v/>
      </c>
      <c r="L41" s="3" t="n">
        <v>-85</v>
      </c>
      <c r="M41" s="3" t="n">
        <v>0</v>
      </c>
      <c r="N41" s="3" t="n">
        <v>-404</v>
      </c>
      <c r="O41" s="3" t="n">
        <v>-460</v>
      </c>
      <c r="P41" s="3" t="n">
        <v>-1313</v>
      </c>
      <c r="Q41" s="3">
        <f>SUM(L41:P41)-I41</f>
        <v/>
      </c>
    </row>
    <row r="42">
      <c r="A42" s="2" t="inlineStr">
        <is>
          <t>bailey-williams-wc</t>
        </is>
      </c>
      <c r="B42" s="2" t="inlineStr">
        <is>
          <t>Bailey J. Williams</t>
        </is>
      </c>
      <c r="C42" s="2" t="inlineStr">
        <is>
          <t>West Coast</t>
        </is>
      </c>
      <c r="D42" s="2" t="inlineStr">
        <is>
          <t>RUCK</t>
        </is>
      </c>
      <c r="E42" s="2" t="n">
        <v>26</v>
      </c>
      <c r="F42" s="2" t="inlineStr">
        <is>
          <t>National pick 35</t>
        </is>
      </c>
      <c r="G42" s="3" t="n">
        <v>2437</v>
      </c>
      <c r="H42" s="3" t="n">
        <v>2144</v>
      </c>
      <c r="I42" s="3">
        <f>H42-G42</f>
        <v/>
      </c>
      <c r="J42" s="4">
        <f>IF(G42=0,"",(H42-G42)/G42)</f>
        <v/>
      </c>
      <c r="K42" s="4">
        <f>IF(G42=0,"",(H42-G42*0.891738)/(G42*0.891738))</f>
        <v/>
      </c>
      <c r="L42" s="3" t="n">
        <v>-32</v>
      </c>
      <c r="M42" s="3" t="n">
        <v>0</v>
      </c>
      <c r="N42" s="3" t="n">
        <v>-261</v>
      </c>
      <c r="O42" s="3" t="n">
        <v>0</v>
      </c>
      <c r="P42" s="3" t="n">
        <v>0</v>
      </c>
      <c r="Q42" s="3">
        <f>SUM(L42:P42)-I42</f>
        <v/>
      </c>
    </row>
    <row r="43">
      <c r="A43" s="2" t="inlineStr">
        <is>
          <t>callum-wilkie</t>
        </is>
      </c>
      <c r="B43" s="2" t="inlineStr">
        <is>
          <t>Callum Wilkie</t>
        </is>
      </c>
      <c r="C43" s="2" t="inlineStr">
        <is>
          <t>St Kilda</t>
        </is>
      </c>
      <c r="D43" s="2" t="inlineStr">
        <is>
          <t>KPD</t>
        </is>
      </c>
      <c r="E43" s="2" t="n">
        <v>30</v>
      </c>
      <c r="F43" s="2" t="inlineStr">
        <is>
          <t>Rookie pick 1</t>
        </is>
      </c>
      <c r="G43" s="3" t="n">
        <v>3826</v>
      </c>
      <c r="H43" s="3" t="n">
        <v>3370</v>
      </c>
      <c r="I43" s="3">
        <f>H43-G43</f>
        <v/>
      </c>
      <c r="J43" s="4">
        <f>IF(G43=0,"",(H43-G43)/G43)</f>
        <v/>
      </c>
      <c r="K43" s="4">
        <f>IF(G43=0,"",(H43-G43*0.891738)/(G43*0.891738))</f>
        <v/>
      </c>
      <c r="L43" s="3" t="n">
        <v>-46</v>
      </c>
      <c r="M43" s="3" t="n">
        <v>0</v>
      </c>
      <c r="N43" s="3" t="n">
        <v>-410</v>
      </c>
      <c r="O43" s="3" t="n">
        <v>0</v>
      </c>
      <c r="P43" s="3" t="n">
        <v>0</v>
      </c>
      <c r="Q43" s="3">
        <f>SUM(L43:P43)-I43</f>
        <v/>
      </c>
    </row>
    <row r="44">
      <c r="A44" s="2" t="inlineStr">
        <is>
          <t>levi-ashcroft</t>
        </is>
      </c>
      <c r="B44" s="2" t="inlineStr">
        <is>
          <t>Levi Ashcroft</t>
        </is>
      </c>
      <c r="C44" s="2" t="inlineStr">
        <is>
          <t>Brisbane</t>
        </is>
      </c>
      <c r="D44" s="2" t="inlineStr">
        <is>
          <t>MID</t>
        </is>
      </c>
      <c r="E44" s="2" t="n">
        <v>20</v>
      </c>
      <c r="F44" s="2" t="inlineStr">
        <is>
          <t>National pick 5</t>
        </is>
      </c>
      <c r="G44" s="3" t="n">
        <v>3350</v>
      </c>
      <c r="H44" s="3" t="n">
        <v>2943</v>
      </c>
      <c r="I44" s="3">
        <f>H44-G44</f>
        <v/>
      </c>
      <c r="J44" s="4">
        <f>IF(G44=0,"",(H44-G44)/G44)</f>
        <v/>
      </c>
      <c r="K44" s="4">
        <f>IF(G44=0,"",(H44-G44*0.891738)/(G44*0.891738))</f>
        <v/>
      </c>
      <c r="L44" s="3" t="n">
        <v>-50</v>
      </c>
      <c r="M44" s="3" t="n">
        <v>0</v>
      </c>
      <c r="N44" s="3" t="n">
        <v>-357</v>
      </c>
      <c r="O44" s="3" t="n">
        <v>0</v>
      </c>
      <c r="P44" s="3" t="n">
        <v>0</v>
      </c>
      <c r="Q44" s="3">
        <f>SUM(L44:P44)-I44</f>
        <v/>
      </c>
    </row>
    <row r="45">
      <c r="A45" s="2" t="inlineStr">
        <is>
          <t>josh-ward</t>
        </is>
      </c>
      <c r="B45" s="2" t="inlineStr">
        <is>
          <t>Josh Ward</t>
        </is>
      </c>
      <c r="C45" s="2" t="inlineStr">
        <is>
          <t>Hawthorn</t>
        </is>
      </c>
      <c r="D45" s="2" t="inlineStr">
        <is>
          <t>MID</t>
        </is>
      </c>
      <c r="E45" s="2" t="n">
        <v>23</v>
      </c>
      <c r="F45" s="2" t="inlineStr">
        <is>
          <t>National pick 7</t>
        </is>
      </c>
      <c r="G45" s="3" t="n">
        <v>2873</v>
      </c>
      <c r="H45" s="3" t="n">
        <v>2492</v>
      </c>
      <c r="I45" s="3">
        <f>H45-G45</f>
        <v/>
      </c>
      <c r="J45" s="4">
        <f>IF(G45=0,"",(H45-G45)/G45)</f>
        <v/>
      </c>
      <c r="K45" s="4">
        <f>IF(G45=0,"",(H45-G45*0.891738)/(G45*0.891738))</f>
        <v/>
      </c>
      <c r="L45" s="3" t="n">
        <v>-78</v>
      </c>
      <c r="M45" s="3" t="n">
        <v>0</v>
      </c>
      <c r="N45" s="3" t="n">
        <v>-303</v>
      </c>
      <c r="O45" s="3" t="n">
        <v>0</v>
      </c>
      <c r="P45" s="3" t="n">
        <v>0</v>
      </c>
      <c r="Q45" s="3">
        <f>SUM(L45:P45)-I45</f>
        <v/>
      </c>
    </row>
    <row r="46">
      <c r="A46" s="2" t="inlineStr">
        <is>
          <t>darcy-wilmot</t>
        </is>
      </c>
      <c r="B46" s="2" t="inlineStr">
        <is>
          <t>Darcy Wilmot</t>
        </is>
      </c>
      <c r="C46" s="2" t="inlineStr">
        <is>
          <t>Brisbane</t>
        </is>
      </c>
      <c r="D46" s="2" t="inlineStr">
        <is>
          <t>SD</t>
        </is>
      </c>
      <c r="E46" s="2" t="n">
        <v>23</v>
      </c>
      <c r="F46" s="2" t="inlineStr">
        <is>
          <t>National pick 16</t>
        </is>
      </c>
      <c r="G46" s="3" t="n">
        <v>3379</v>
      </c>
      <c r="H46" s="3" t="n">
        <v>2967</v>
      </c>
      <c r="I46" s="3">
        <f>H46-G46</f>
        <v/>
      </c>
      <c r="J46" s="4">
        <f>IF(G46=0,"",(H46-G46)/G46)</f>
        <v/>
      </c>
      <c r="K46" s="4">
        <f>IF(G46=0,"",(H46-G46*0.891738)/(G46*0.891738))</f>
        <v/>
      </c>
      <c r="L46" s="3" t="n">
        <v>-52</v>
      </c>
      <c r="M46" s="3" t="n">
        <v>0</v>
      </c>
      <c r="N46" s="3" t="n">
        <v>-360</v>
      </c>
      <c r="O46" s="3" t="n">
        <v>0</v>
      </c>
      <c r="P46" s="3" t="n">
        <v>0</v>
      </c>
      <c r="Q46" s="3">
        <f>SUM(L46:P46)-I46</f>
        <v/>
      </c>
    </row>
    <row r="47">
      <c r="A47" s="2" t="inlineStr">
        <is>
          <t>cooper-duff-tytler</t>
        </is>
      </c>
      <c r="B47" s="2" t="inlineStr">
        <is>
          <t>Cooper Duff-Tytler</t>
        </is>
      </c>
      <c r="C47" s="2" t="inlineStr">
        <is>
          <t>West Coast</t>
        </is>
      </c>
      <c r="D47" s="2" t="inlineStr">
        <is>
          <t>KPF</t>
        </is>
      </c>
      <c r="E47" s="2" t="n">
        <v>19</v>
      </c>
      <c r="F47" s="2" t="inlineStr">
        <is>
          <t>National pick 4</t>
        </is>
      </c>
      <c r="G47" s="3" t="n">
        <v>1514</v>
      </c>
      <c r="H47" s="3" t="n">
        <v>1524</v>
      </c>
      <c r="I47" s="3">
        <f>H47-G47</f>
        <v/>
      </c>
      <c r="J47" s="4">
        <f>IF(G47=0,"",(H47-G47)/G47)</f>
        <v/>
      </c>
      <c r="K47" s="4">
        <f>IF(G47=0,"",(H47-G47*0.891738)/(G47*0.891738))</f>
        <v/>
      </c>
      <c r="L47" s="3" t="n">
        <v>195</v>
      </c>
      <c r="M47" s="3" t="n">
        <v>0</v>
      </c>
      <c r="N47" s="3" t="n">
        <v>-185</v>
      </c>
      <c r="O47" s="3" t="n">
        <v>0</v>
      </c>
      <c r="P47" s="3" t="n">
        <v>0</v>
      </c>
      <c r="Q47" s="3">
        <f>SUM(L47:P47)-I47</f>
        <v/>
      </c>
    </row>
    <row r="48">
      <c r="A48" s="2" t="inlineStr">
        <is>
          <t>ryley-sanders</t>
        </is>
      </c>
      <c r="B48" s="2" t="inlineStr">
        <is>
          <t>Ryley Sanders</t>
        </is>
      </c>
      <c r="C48" s="2" t="inlineStr">
        <is>
          <t>Western Bulldogs</t>
        </is>
      </c>
      <c r="D48" s="2" t="inlineStr">
        <is>
          <t>MID</t>
        </is>
      </c>
      <c r="E48" s="2" t="n">
        <v>21</v>
      </c>
      <c r="F48" s="2" t="inlineStr">
        <is>
          <t>National pick 6</t>
        </is>
      </c>
      <c r="G48" s="3" t="n">
        <v>3934</v>
      </c>
      <c r="H48" s="3" t="n">
        <v>3465</v>
      </c>
      <c r="I48" s="3">
        <f>H48-G48</f>
        <v/>
      </c>
      <c r="J48" s="4">
        <f>IF(G48=0,"",(H48-G48)/G48)</f>
        <v/>
      </c>
      <c r="K48" s="4">
        <f>IF(G48=0,"",(H48-G48*0.891738)/(G48*0.891738))</f>
        <v/>
      </c>
      <c r="L48" s="3" t="n">
        <v>-48</v>
      </c>
      <c r="M48" s="3" t="n">
        <v>0</v>
      </c>
      <c r="N48" s="3" t="n">
        <v>-421</v>
      </c>
      <c r="O48" s="3" t="n">
        <v>0</v>
      </c>
      <c r="P48" s="3" t="n">
        <v>0</v>
      </c>
      <c r="Q48" s="3">
        <f>SUM(L48:P48)-I48</f>
        <v/>
      </c>
    </row>
    <row r="49">
      <c r="A49" s="2" t="inlineStr">
        <is>
          <t>max-gawn</t>
        </is>
      </c>
      <c r="B49" s="2" t="inlineStr">
        <is>
          <t>Max Gawn</t>
        </is>
      </c>
      <c r="C49" s="2" t="inlineStr">
        <is>
          <t>Melbourne</t>
        </is>
      </c>
      <c r="D49" s="2" t="inlineStr">
        <is>
          <t>RUCK</t>
        </is>
      </c>
      <c r="E49" s="2" t="n">
        <v>35</v>
      </c>
      <c r="F49" s="2" t="inlineStr">
        <is>
          <t>National pick 33</t>
        </is>
      </c>
      <c r="G49" s="3" t="n">
        <v>3482</v>
      </c>
      <c r="H49" s="3" t="n">
        <v>3061</v>
      </c>
      <c r="I49" s="3">
        <f>H49-G49</f>
        <v/>
      </c>
      <c r="J49" s="4">
        <f>IF(G49=0,"",(H49-G49)/G49)</f>
        <v/>
      </c>
      <c r="K49" s="4">
        <f>IF(G49=0,"",(H49-G49*0.891738)/(G49*0.891738))</f>
        <v/>
      </c>
      <c r="L49" s="3" t="n">
        <v>-50</v>
      </c>
      <c r="M49" s="3" t="n">
        <v>0</v>
      </c>
      <c r="N49" s="3" t="n">
        <v>-371</v>
      </c>
      <c r="O49" s="3" t="n">
        <v>0</v>
      </c>
      <c r="P49" s="3" t="n">
        <v>0</v>
      </c>
      <c r="Q49" s="3">
        <f>SUM(L49:P49)-I49</f>
        <v/>
      </c>
    </row>
    <row r="50">
      <c r="A50" s="2" t="inlineStr">
        <is>
          <t>sam-berry</t>
        </is>
      </c>
      <c r="B50" s="2" t="inlineStr">
        <is>
          <t>Sam Berry</t>
        </is>
      </c>
      <c r="C50" s="2" t="inlineStr">
        <is>
          <t>Adelaide</t>
        </is>
      </c>
      <c r="D50" s="2" t="inlineStr">
        <is>
          <t>MID</t>
        </is>
      </c>
      <c r="E50" s="2" t="n">
        <v>24</v>
      </c>
      <c r="F50" s="2" t="inlineStr">
        <is>
          <t>National pick 29</t>
        </is>
      </c>
      <c r="G50" s="3" t="n">
        <v>3843</v>
      </c>
      <c r="H50" s="3" t="n">
        <v>3380</v>
      </c>
      <c r="I50" s="3">
        <f>H50-G50</f>
        <v/>
      </c>
      <c r="J50" s="4">
        <f>IF(G50=0,"",(H50-G50)/G50)</f>
        <v/>
      </c>
      <c r="K50" s="4">
        <f>IF(G50=0,"",(H50-G50*0.891738)/(G50*0.891738))</f>
        <v/>
      </c>
      <c r="L50" s="3" t="n">
        <v>-53</v>
      </c>
      <c r="M50" s="3" t="n">
        <v>0</v>
      </c>
      <c r="N50" s="3" t="n">
        <v>-410</v>
      </c>
      <c r="O50" s="3" t="n">
        <v>0</v>
      </c>
      <c r="P50" s="3" t="n">
        <v>0</v>
      </c>
      <c r="Q50" s="3">
        <f>SUM(L50:P50)-I50</f>
        <v/>
      </c>
    </row>
    <row r="51">
      <c r="A51" s="2" t="inlineStr">
        <is>
          <t>isaac-heeney</t>
        </is>
      </c>
      <c r="B51" s="2" t="inlineStr">
        <is>
          <t>Isaac Heeney</t>
        </is>
      </c>
      <c r="C51" s="2" t="inlineStr">
        <is>
          <t>Sydney</t>
        </is>
      </c>
      <c r="D51" s="2" t="inlineStr">
        <is>
          <t>MID</t>
        </is>
      </c>
      <c r="E51" s="2" t="n">
        <v>30</v>
      </c>
      <c r="F51" s="2" t="inlineStr">
        <is>
          <t>National pick 4</t>
        </is>
      </c>
      <c r="G51" s="3" t="n">
        <v>3652</v>
      </c>
      <c r="H51" s="3" t="n">
        <v>3211</v>
      </c>
      <c r="I51" s="3">
        <f>H51-G51</f>
        <v/>
      </c>
      <c r="J51" s="4">
        <f>IF(G51=0,"",(H51-G51)/G51)</f>
        <v/>
      </c>
      <c r="K51" s="4">
        <f>IF(G51=0,"",(H51-G51*0.891738)/(G51*0.891738))</f>
        <v/>
      </c>
      <c r="L51" s="3" t="n">
        <v>-52</v>
      </c>
      <c r="M51" s="3" t="n">
        <v>0</v>
      </c>
      <c r="N51" s="3" t="n">
        <v>-389</v>
      </c>
      <c r="O51" s="3" t="n">
        <v>0</v>
      </c>
      <c r="P51" s="3" t="n">
        <v>0</v>
      </c>
      <c r="Q51" s="3">
        <f>SUM(L51:P51)-I51</f>
        <v/>
      </c>
    </row>
    <row r="52">
      <c r="A52" s="2" t="inlineStr">
        <is>
          <t>colby-mckercher</t>
        </is>
      </c>
      <c r="B52" s="2" t="inlineStr">
        <is>
          <t>Colby McKercher</t>
        </is>
      </c>
      <c r="C52" s="2" t="inlineStr">
        <is>
          <t>North Melbourne</t>
        </is>
      </c>
      <c r="D52" s="2" t="inlineStr">
        <is>
          <t>MID</t>
        </is>
      </c>
      <c r="E52" s="2" t="n">
        <v>21</v>
      </c>
      <c r="F52" s="2" t="inlineStr">
        <is>
          <t>National pick 2</t>
        </is>
      </c>
      <c r="G52" s="3" t="n">
        <v>4434</v>
      </c>
      <c r="H52" s="3" t="n">
        <v>3836</v>
      </c>
      <c r="I52" s="3">
        <f>H52-G52</f>
        <v/>
      </c>
      <c r="J52" s="4">
        <f>IF(G52=0,"",(H52-G52)/G52)</f>
        <v/>
      </c>
      <c r="K52" s="4">
        <f>IF(G52=0,"",(H52-G52*0.891738)/(G52*0.891738))</f>
        <v/>
      </c>
      <c r="L52" s="3" t="n">
        <v>-132</v>
      </c>
      <c r="M52" s="3" t="n">
        <v>0</v>
      </c>
      <c r="N52" s="3" t="n">
        <v>-466</v>
      </c>
      <c r="O52" s="3" t="n">
        <v>0</v>
      </c>
      <c r="P52" s="3" t="n">
        <v>0</v>
      </c>
      <c r="Q52" s="3">
        <f>SUM(L52:P52)-I52</f>
        <v/>
      </c>
    </row>
    <row r="53">
      <c r="A53" s="2" t="inlineStr">
        <is>
          <t>luke-davies-uniacke</t>
        </is>
      </c>
      <c r="B53" s="2" t="inlineStr">
        <is>
          <t>Luke Davies-Uniacke</t>
        </is>
      </c>
      <c r="C53" s="2" t="inlineStr">
        <is>
          <t>North Melbourne</t>
        </is>
      </c>
      <c r="D53" s="2" t="inlineStr">
        <is>
          <t>MID</t>
        </is>
      </c>
      <c r="E53" s="2" t="n">
        <v>27</v>
      </c>
      <c r="F53" s="2" t="inlineStr">
        <is>
          <t>National pick 4</t>
        </is>
      </c>
      <c r="G53" s="3" t="n">
        <v>3580</v>
      </c>
      <c r="H53" s="3" t="n">
        <v>3148</v>
      </c>
      <c r="I53" s="3">
        <f>H53-G53</f>
        <v/>
      </c>
      <c r="J53" s="4">
        <f>IF(G53=0,"",(H53-G53)/G53)</f>
        <v/>
      </c>
      <c r="K53" s="4">
        <f>IF(G53=0,"",(H53-G53*0.891738)/(G53*0.891738))</f>
        <v/>
      </c>
      <c r="L53" s="3" t="n">
        <v>-50</v>
      </c>
      <c r="M53" s="3" t="n">
        <v>0</v>
      </c>
      <c r="N53" s="3" t="n">
        <v>-382</v>
      </c>
      <c r="O53" s="3" t="n">
        <v>0</v>
      </c>
      <c r="P53" s="3" t="n">
        <v>0</v>
      </c>
      <c r="Q53" s="3">
        <f>SUM(L53:P53)-I53</f>
        <v/>
      </c>
    </row>
    <row r="54">
      <c r="A54" s="2" t="inlineStr">
        <is>
          <t>jack-sinclair</t>
        </is>
      </c>
      <c r="B54" s="2" t="inlineStr">
        <is>
          <t>Jack Sinclair</t>
        </is>
      </c>
      <c r="C54" s="2" t="inlineStr">
        <is>
          <t>St Kilda</t>
        </is>
      </c>
      <c r="D54" s="2" t="inlineStr">
        <is>
          <t>SD</t>
        </is>
      </c>
      <c r="E54" s="2" t="n">
        <v>31</v>
      </c>
      <c r="F54" s="2" t="inlineStr">
        <is>
          <t>Rookie pick 1</t>
        </is>
      </c>
      <c r="G54" s="3" t="n">
        <v>3368</v>
      </c>
      <c r="H54" s="3" t="n">
        <v>2963</v>
      </c>
      <c r="I54" s="3">
        <f>H54-G54</f>
        <v/>
      </c>
      <c r="J54" s="4">
        <f>IF(G54=0,"",(H54-G54)/G54)</f>
        <v/>
      </c>
      <c r="K54" s="4">
        <f>IF(G54=0,"",(H54-G54*0.891738)/(G54*0.891738))</f>
        <v/>
      </c>
      <c r="L54" s="3" t="n">
        <v>-45</v>
      </c>
      <c r="M54" s="3" t="n">
        <v>0</v>
      </c>
      <c r="N54" s="3" t="n">
        <v>-360</v>
      </c>
      <c r="O54" s="3" t="n">
        <v>0</v>
      </c>
      <c r="P54" s="3" t="n">
        <v>0</v>
      </c>
      <c r="Q54" s="3">
        <f>SUM(L54:P54)-I54</f>
        <v/>
      </c>
    </row>
    <row r="55">
      <c r="A55" s="2" t="inlineStr">
        <is>
          <t>zeke-uwland</t>
        </is>
      </c>
      <c r="B55" s="2" t="inlineStr">
        <is>
          <t>Zeke Uwland</t>
        </is>
      </c>
      <c r="C55" s="2" t="inlineStr">
        <is>
          <t>Gold Coast</t>
        </is>
      </c>
      <c r="D55" s="2" t="inlineStr">
        <is>
          <t>SD</t>
        </is>
      </c>
      <c r="E55" s="2" t="n">
        <v>19</v>
      </c>
      <c r="F55" s="2" t="inlineStr">
        <is>
          <t>National pick 2</t>
        </is>
      </c>
      <c r="G55" s="3" t="n">
        <v>2687</v>
      </c>
      <c r="H55" s="3" t="n">
        <v>2207</v>
      </c>
      <c r="I55" s="3">
        <f>H55-G55</f>
        <v/>
      </c>
      <c r="J55" s="4">
        <f>IF(G55=0,"",(H55-G55)/G55)</f>
        <v/>
      </c>
      <c r="K55" s="4">
        <f>IF(G55=0,"",(H55-G55*0.891738)/(G55*0.891738))</f>
        <v/>
      </c>
      <c r="L55" s="3" t="n">
        <v>-212</v>
      </c>
      <c r="M55" s="3" t="n">
        <v>0</v>
      </c>
      <c r="N55" s="3" t="n">
        <v>-268</v>
      </c>
      <c r="O55" s="3" t="n">
        <v>0</v>
      </c>
      <c r="P55" s="3" t="n">
        <v>0</v>
      </c>
      <c r="Q55" s="3">
        <f>SUM(L55:P55)-I55</f>
        <v/>
      </c>
    </row>
    <row r="56">
      <c r="A56" s="2" t="inlineStr">
        <is>
          <t>tom-green</t>
        </is>
      </c>
      <c r="B56" s="2" t="inlineStr">
        <is>
          <t>Tom Green</t>
        </is>
      </c>
      <c r="C56" s="2" t="inlineStr">
        <is>
          <t>GWS</t>
        </is>
      </c>
      <c r="D56" s="2" t="inlineStr">
        <is>
          <t>MID</t>
        </is>
      </c>
      <c r="E56" s="2" t="n">
        <v>25</v>
      </c>
      <c r="F56" s="2" t="inlineStr">
        <is>
          <t>National pick 10</t>
        </is>
      </c>
      <c r="G56" s="3" t="n">
        <v>4883</v>
      </c>
      <c r="H56" s="3" t="n">
        <v>4295</v>
      </c>
      <c r="I56" s="3">
        <f>H56-G56</f>
        <v/>
      </c>
      <c r="J56" s="4">
        <f>IF(G56=0,"",(H56-G56)/G56)</f>
        <v/>
      </c>
      <c r="K56" s="4">
        <f>IF(G56=0,"",(H56-G56*0.891738)/(G56*0.891738))</f>
        <v/>
      </c>
      <c r="L56" s="3" t="n">
        <v>-67</v>
      </c>
      <c r="M56" s="3" t="n">
        <v>0</v>
      </c>
      <c r="N56" s="3" t="n">
        <v>-521</v>
      </c>
      <c r="O56" s="3" t="n">
        <v>0</v>
      </c>
      <c r="P56" s="3" t="n">
        <v>0</v>
      </c>
      <c r="Q56" s="3">
        <f>SUM(L56:P56)-I56</f>
        <v/>
      </c>
    </row>
    <row r="57">
      <c r="A57" s="2" t="inlineStr">
        <is>
          <t>max-hall</t>
        </is>
      </c>
      <c r="B57" s="2" t="inlineStr">
        <is>
          <t>Max Hall</t>
        </is>
      </c>
      <c r="C57" s="2" t="inlineStr">
        <is>
          <t>St Kilda</t>
        </is>
      </c>
      <c r="D57" s="2" t="inlineStr">
        <is>
          <t>SF</t>
        </is>
      </c>
      <c r="E57" s="2" t="n">
        <v>24</v>
      </c>
      <c r="F57" s="2" t="inlineStr">
        <is>
          <t>Mid-Season pick 4</t>
        </is>
      </c>
      <c r="G57" s="3" t="n">
        <v>2738</v>
      </c>
      <c r="H57" s="3" t="n">
        <v>2333</v>
      </c>
      <c r="I57" s="3">
        <f>H57-G57</f>
        <v/>
      </c>
      <c r="J57" s="4">
        <f>IF(G57=0,"",(H57-G57)/G57)</f>
        <v/>
      </c>
      <c r="K57" s="4">
        <f>IF(G57=0,"",(H57-G57*0.891738)/(G57*0.891738))</f>
        <v/>
      </c>
      <c r="L57" s="3" t="n">
        <v>-122</v>
      </c>
      <c r="M57" s="3" t="n">
        <v>0</v>
      </c>
      <c r="N57" s="3" t="n">
        <v>-283</v>
      </c>
      <c r="O57" s="3" t="n">
        <v>0</v>
      </c>
      <c r="P57" s="3" t="n">
        <v>0</v>
      </c>
      <c r="Q57" s="3">
        <f>SUM(L57:P57)-I57</f>
        <v/>
      </c>
    </row>
    <row r="58">
      <c r="A58" s="2" t="inlineStr">
        <is>
          <t>chad-warner</t>
        </is>
      </c>
      <c r="B58" s="2" t="inlineStr">
        <is>
          <t>Chad Warner</t>
        </is>
      </c>
      <c r="C58" s="2" t="inlineStr">
        <is>
          <t>Sydney</t>
        </is>
      </c>
      <c r="D58" s="2" t="inlineStr">
        <is>
          <t>MID</t>
        </is>
      </c>
      <c r="E58" s="2" t="n">
        <v>25</v>
      </c>
      <c r="F58" s="2" t="inlineStr">
        <is>
          <t>National pick 38</t>
        </is>
      </c>
      <c r="G58" s="3" t="n">
        <v>4038</v>
      </c>
      <c r="H58" s="3" t="n">
        <v>3551</v>
      </c>
      <c r="I58" s="3">
        <f>H58-G58</f>
        <v/>
      </c>
      <c r="J58" s="4">
        <f>IF(G58=0,"",(H58-G58)/G58)</f>
        <v/>
      </c>
      <c r="K58" s="4">
        <f>IF(G58=0,"",(H58-G58*0.891738)/(G58*0.891738))</f>
        <v/>
      </c>
      <c r="L58" s="3" t="n">
        <v>-56</v>
      </c>
      <c r="M58" s="3" t="n">
        <v>0</v>
      </c>
      <c r="N58" s="3" t="n">
        <v>-431</v>
      </c>
      <c r="O58" s="3" t="n">
        <v>0</v>
      </c>
      <c r="P58" s="3" t="n">
        <v>0</v>
      </c>
      <c r="Q58" s="3">
        <f>SUM(L58:P58)-I58</f>
        <v/>
      </c>
    </row>
    <row r="59">
      <c r="A59" s="2" t="inlineStr">
        <is>
          <t>kieren-briggs</t>
        </is>
      </c>
      <c r="B59" s="2" t="inlineStr">
        <is>
          <t>Kieren Briggs</t>
        </is>
      </c>
      <c r="C59" s="2" t="inlineStr">
        <is>
          <t>GWS</t>
        </is>
      </c>
      <c r="D59" s="2" t="inlineStr">
        <is>
          <t>RUCK</t>
        </is>
      </c>
      <c r="E59" s="2" t="n">
        <v>27</v>
      </c>
      <c r="F59" s="2" t="inlineStr">
        <is>
          <t>National pick 34</t>
        </is>
      </c>
      <c r="G59" s="3" t="n">
        <v>2140</v>
      </c>
      <c r="H59" s="3" t="n">
        <v>1883</v>
      </c>
      <c r="I59" s="3">
        <f>H59-G59</f>
        <v/>
      </c>
      <c r="J59" s="4">
        <f>IF(G59=0,"",(H59-G59)/G59)</f>
        <v/>
      </c>
      <c r="K59" s="4">
        <f>IF(G59=0,"",(H59-G59*0.891738)/(G59*0.891738))</f>
        <v/>
      </c>
      <c r="L59" s="3" t="n">
        <v>-28</v>
      </c>
      <c r="M59" s="3" t="n">
        <v>0</v>
      </c>
      <c r="N59" s="3" t="n">
        <v>-229</v>
      </c>
      <c r="O59" s="3" t="n">
        <v>0</v>
      </c>
      <c r="P59" s="3" t="n">
        <v>0</v>
      </c>
      <c r="Q59" s="3">
        <f>SUM(L59:P59)-I59</f>
        <v/>
      </c>
    </row>
    <row r="60">
      <c r="A60" s="2" t="inlineStr">
        <is>
          <t>jed-walter</t>
        </is>
      </c>
      <c r="B60" s="2" t="inlineStr">
        <is>
          <t>Jed Walter</t>
        </is>
      </c>
      <c r="C60" s="2" t="inlineStr">
        <is>
          <t>Gold Coast</t>
        </is>
      </c>
      <c r="D60" s="2" t="inlineStr">
        <is>
          <t>KPF</t>
        </is>
      </c>
      <c r="E60" s="2" t="n">
        <v>21</v>
      </c>
      <c r="F60" s="2" t="inlineStr">
        <is>
          <t>National pick 3</t>
        </is>
      </c>
      <c r="G60" s="3" t="n">
        <v>1315</v>
      </c>
      <c r="H60" s="3" t="n">
        <v>1054</v>
      </c>
      <c r="I60" s="3">
        <f>H60-G60</f>
        <v/>
      </c>
      <c r="J60" s="4">
        <f>IF(G60=0,"",(H60-G60)/G60)</f>
        <v/>
      </c>
      <c r="K60" s="4">
        <f>IF(G60=0,"",(H60-G60*0.891738)/(G60*0.891738))</f>
        <v/>
      </c>
      <c r="L60" s="3" t="n">
        <v>-134</v>
      </c>
      <c r="M60" s="3" t="n">
        <v>0</v>
      </c>
      <c r="N60" s="3" t="n">
        <v>-127</v>
      </c>
      <c r="O60" s="3" t="n">
        <v>0</v>
      </c>
      <c r="P60" s="3" t="n">
        <v>0</v>
      </c>
      <c r="Q60" s="3">
        <f>SUM(L60:P60)-I60</f>
        <v/>
      </c>
    </row>
    <row r="61">
      <c r="A61" s="2" t="inlineStr">
        <is>
          <t>connor-macdonald</t>
        </is>
      </c>
      <c r="B61" s="2" t="inlineStr">
        <is>
          <t>Connor MacDonald</t>
        </is>
      </c>
      <c r="C61" s="2" t="inlineStr">
        <is>
          <t>Hawthorn</t>
        </is>
      </c>
      <c r="D61" s="2" t="inlineStr">
        <is>
          <t>SF</t>
        </is>
      </c>
      <c r="E61" s="2" t="n">
        <v>23</v>
      </c>
      <c r="F61" s="2" t="inlineStr">
        <is>
          <t>National pick 26</t>
        </is>
      </c>
      <c r="G61" s="3" t="n">
        <v>2849</v>
      </c>
      <c r="H61" s="3" t="n">
        <v>2506</v>
      </c>
      <c r="I61" s="3">
        <f>H61-G61</f>
        <v/>
      </c>
      <c r="J61" s="4">
        <f>IF(G61=0,"",(H61-G61)/G61)</f>
        <v/>
      </c>
      <c r="K61" s="4">
        <f>IF(G61=0,"",(H61-G61*0.891738)/(G61*0.891738))</f>
        <v/>
      </c>
      <c r="L61" s="3" t="n">
        <v>-39</v>
      </c>
      <c r="M61" s="3" t="n">
        <v>0</v>
      </c>
      <c r="N61" s="3" t="n">
        <v>-304</v>
      </c>
      <c r="O61" s="3" t="n">
        <v>0</v>
      </c>
      <c r="P61" s="3" t="n">
        <v>0</v>
      </c>
      <c r="Q61" s="3">
        <f>SUM(L61:P61)-I61</f>
        <v/>
      </c>
    </row>
    <row r="62">
      <c r="A62" s="2" t="inlineStr">
        <is>
          <t>jordan-dawson</t>
        </is>
      </c>
      <c r="B62" s="2" t="inlineStr">
        <is>
          <t>Jordan Dawson</t>
        </is>
      </c>
      <c r="C62" s="2" t="inlineStr">
        <is>
          <t>Adelaide</t>
        </is>
      </c>
      <c r="D62" s="2" t="inlineStr">
        <is>
          <t>MID</t>
        </is>
      </c>
      <c r="E62" s="2" t="n">
        <v>29</v>
      </c>
      <c r="F62" s="2" t="inlineStr">
        <is>
          <t>National pick 55</t>
        </is>
      </c>
      <c r="G62" s="3" t="n">
        <v>3492</v>
      </c>
      <c r="H62" s="3" t="n">
        <v>3069</v>
      </c>
      <c r="I62" s="3">
        <f>H62-G62</f>
        <v/>
      </c>
      <c r="J62" s="4">
        <f>IF(G62=0,"",(H62-G62)/G62)</f>
        <v/>
      </c>
      <c r="K62" s="4">
        <f>IF(G62=0,"",(H62-G62*0.891738)/(G62*0.891738))</f>
        <v/>
      </c>
      <c r="L62" s="3" t="n">
        <v>-50</v>
      </c>
      <c r="M62" s="3" t="n">
        <v>0</v>
      </c>
      <c r="N62" s="3" t="n">
        <v>-373</v>
      </c>
      <c r="O62" s="3" t="n">
        <v>0</v>
      </c>
      <c r="P62" s="3" t="n">
        <v>0</v>
      </c>
      <c r="Q62" s="3">
        <f>SUM(L62:P62)-I62</f>
        <v/>
      </c>
    </row>
    <row r="63">
      <c r="A63" s="2" t="inlineStr">
        <is>
          <t>jordon-sweet</t>
        </is>
      </c>
      <c r="B63" s="2" t="inlineStr">
        <is>
          <t>Jordon Sweet</t>
        </is>
      </c>
      <c r="C63" s="2" t="inlineStr">
        <is>
          <t>Port Adelaide</t>
        </is>
      </c>
      <c r="D63" s="2" t="inlineStr">
        <is>
          <t>RUCK</t>
        </is>
      </c>
      <c r="E63" s="2" t="n">
        <v>28</v>
      </c>
      <c r="F63" s="2" t="inlineStr">
        <is>
          <t>Rookie pick 14</t>
        </is>
      </c>
      <c r="G63" s="3" t="n">
        <v>2435</v>
      </c>
      <c r="H63" s="3" t="n">
        <v>2103</v>
      </c>
      <c r="I63" s="3">
        <f>H63-G63</f>
        <v/>
      </c>
      <c r="J63" s="4">
        <f>IF(G63=0,"",(H63-G63)/G63)</f>
        <v/>
      </c>
      <c r="K63" s="4">
        <f>IF(G63=0,"",(H63-G63*0.891738)/(G63*0.891738))</f>
        <v/>
      </c>
      <c r="L63" s="3" t="n">
        <v>-77</v>
      </c>
      <c r="M63" s="3" t="n">
        <v>0</v>
      </c>
      <c r="N63" s="3" t="n">
        <v>-255</v>
      </c>
      <c r="O63" s="3" t="n">
        <v>0</v>
      </c>
      <c r="P63" s="3" t="n">
        <v>0</v>
      </c>
      <c r="Q63" s="3">
        <f>SUM(L63:P63)-I63</f>
        <v/>
      </c>
    </row>
    <row r="64">
      <c r="A64" s="2" t="inlineStr">
        <is>
          <t>kysaiah-pickett</t>
        </is>
      </c>
      <c r="B64" s="2" t="inlineStr">
        <is>
          <t>Kysaiah Pickett</t>
        </is>
      </c>
      <c r="C64" s="2" t="inlineStr">
        <is>
          <t>Melbourne</t>
        </is>
      </c>
      <c r="D64" s="2" t="inlineStr">
        <is>
          <t>SF</t>
        </is>
      </c>
      <c r="E64" s="2" t="n">
        <v>25</v>
      </c>
      <c r="F64" s="2" t="inlineStr">
        <is>
          <t>National pick 12</t>
        </is>
      </c>
      <c r="G64" s="3" t="n">
        <v>4064</v>
      </c>
      <c r="H64" s="3" t="n">
        <v>3574</v>
      </c>
      <c r="I64" s="3">
        <f>H64-G64</f>
        <v/>
      </c>
      <c r="J64" s="4">
        <f>IF(G64=0,"",(H64-G64)/G64)</f>
        <v/>
      </c>
      <c r="K64" s="4">
        <f>IF(G64=0,"",(H64-G64*0.891738)/(G64*0.891738))</f>
        <v/>
      </c>
      <c r="L64" s="3" t="n">
        <v>-57</v>
      </c>
      <c r="M64" s="3" t="n">
        <v>0</v>
      </c>
      <c r="N64" s="3" t="n">
        <v>-433</v>
      </c>
      <c r="O64" s="3" t="n">
        <v>0</v>
      </c>
      <c r="P64" s="3" t="n">
        <v>0</v>
      </c>
      <c r="Q64" s="3">
        <f>SUM(L64:P64)-I64</f>
        <v/>
      </c>
    </row>
    <row r="65">
      <c r="A65" s="2" t="inlineStr">
        <is>
          <t>connor-o-sullivan</t>
        </is>
      </c>
      <c r="B65" s="2" t="inlineStr">
        <is>
          <t>Connor O'Sullivan</t>
        </is>
      </c>
      <c r="C65" s="2" t="inlineStr">
        <is>
          <t>Geelong</t>
        </is>
      </c>
      <c r="D65" s="2" t="inlineStr">
        <is>
          <t>KPD</t>
        </is>
      </c>
      <c r="E65" s="2" t="n">
        <v>21</v>
      </c>
      <c r="F65" s="2" t="inlineStr">
        <is>
          <t>National pick 11</t>
        </is>
      </c>
      <c r="G65" s="3" t="n">
        <v>2947</v>
      </c>
      <c r="H65" s="3" t="n">
        <v>2593</v>
      </c>
      <c r="I65" s="3">
        <f>H65-G65</f>
        <v/>
      </c>
      <c r="J65" s="4">
        <f>IF(G65=0,"",(H65-G65)/G65)</f>
        <v/>
      </c>
      <c r="K65" s="4">
        <f>IF(G65=0,"",(H65-G65*0.891738)/(G65*0.891738))</f>
        <v/>
      </c>
      <c r="L65" s="3" t="n">
        <v>-38</v>
      </c>
      <c r="M65" s="3" t="n">
        <v>0</v>
      </c>
      <c r="N65" s="3" t="n">
        <v>-316</v>
      </c>
      <c r="O65" s="3" t="n">
        <v>0</v>
      </c>
      <c r="P65" s="3" t="n">
        <v>0</v>
      </c>
      <c r="Q65" s="3">
        <f>SUM(L65:P65)-I65</f>
        <v/>
      </c>
    </row>
    <row r="66">
      <c r="A66" s="2" t="inlineStr">
        <is>
          <t>ed-richards</t>
        </is>
      </c>
      <c r="B66" s="2" t="inlineStr">
        <is>
          <t>Ed Richards</t>
        </is>
      </c>
      <c r="C66" s="2" t="inlineStr">
        <is>
          <t>Western Bulldogs</t>
        </is>
      </c>
      <c r="D66" s="2" t="inlineStr">
        <is>
          <t>MID</t>
        </is>
      </c>
      <c r="E66" s="2" t="n">
        <v>27</v>
      </c>
      <c r="F66" s="2" t="inlineStr">
        <is>
          <t>National pick 16</t>
        </is>
      </c>
      <c r="G66" s="3" t="n">
        <v>3949</v>
      </c>
      <c r="H66" s="3" t="n">
        <v>3472</v>
      </c>
      <c r="I66" s="3">
        <f>H66-G66</f>
        <v/>
      </c>
      <c r="J66" s="4">
        <f>IF(G66=0,"",(H66-G66)/G66)</f>
        <v/>
      </c>
      <c r="K66" s="4">
        <f>IF(G66=0,"",(H66-G66*0.891738)/(G66*0.891738))</f>
        <v/>
      </c>
      <c r="L66" s="3" t="n">
        <v>-55</v>
      </c>
      <c r="M66" s="3" t="n">
        <v>0</v>
      </c>
      <c r="N66" s="3" t="n">
        <v>-422</v>
      </c>
      <c r="O66" s="3" t="n">
        <v>0</v>
      </c>
      <c r="P66" s="3" t="n">
        <v>0</v>
      </c>
      <c r="Q66" s="3">
        <f>SUM(L66:P66)-I66</f>
        <v/>
      </c>
    </row>
    <row r="67">
      <c r="A67" s="2" t="inlineStr">
        <is>
          <t>reuben-ginbey</t>
        </is>
      </c>
      <c r="B67" s="2" t="inlineStr">
        <is>
          <t>Reuben Ginbey</t>
        </is>
      </c>
      <c r="C67" s="2" t="inlineStr">
        <is>
          <t>West Coast</t>
        </is>
      </c>
      <c r="D67" s="2" t="inlineStr">
        <is>
          <t>KPD</t>
        </is>
      </c>
      <c r="E67" s="2" t="n">
        <v>22</v>
      </c>
      <c r="F67" s="2" t="inlineStr">
        <is>
          <t>National pick 9</t>
        </is>
      </c>
      <c r="G67" s="3" t="n">
        <v>2359</v>
      </c>
      <c r="H67" s="3" t="n">
        <v>2081</v>
      </c>
      <c r="I67" s="3">
        <f>H67-G67</f>
        <v/>
      </c>
      <c r="J67" s="4">
        <f>IF(G67=0,"",(H67-G67)/G67)</f>
        <v/>
      </c>
      <c r="K67" s="4">
        <f>IF(G67=0,"",(H67-G67*0.891738)/(G67*0.891738))</f>
        <v/>
      </c>
      <c r="L67" s="3" t="n">
        <v>-24</v>
      </c>
      <c r="M67" s="3" t="n">
        <v>0</v>
      </c>
      <c r="N67" s="3" t="n">
        <v>-254</v>
      </c>
      <c r="O67" s="3" t="n">
        <v>0</v>
      </c>
      <c r="P67" s="3" t="n">
        <v>0</v>
      </c>
      <c r="Q67" s="3">
        <f>SUM(L67:P67)-I67</f>
        <v/>
      </c>
    </row>
    <row r="68">
      <c r="A68" s="2" t="inlineStr">
        <is>
          <t>george-wardlaw</t>
        </is>
      </c>
      <c r="B68" s="2" t="inlineStr">
        <is>
          <t>George Wardlaw</t>
        </is>
      </c>
      <c r="C68" s="2" t="inlineStr">
        <is>
          <t>North Melbourne</t>
        </is>
      </c>
      <c r="D68" s="2" t="inlineStr">
        <is>
          <t>MID</t>
        </is>
      </c>
      <c r="E68" s="2" t="n">
        <v>22</v>
      </c>
      <c r="F68" s="2" t="inlineStr">
        <is>
          <t>National pick 4</t>
        </is>
      </c>
      <c r="G68" s="3" t="n">
        <v>3308</v>
      </c>
      <c r="H68" s="3" t="n">
        <v>2919</v>
      </c>
      <c r="I68" s="3">
        <f>H68-G68</f>
        <v/>
      </c>
      <c r="J68" s="4">
        <f>IF(G68=0,"",(H68-G68)/G68)</f>
        <v/>
      </c>
      <c r="K68" s="4">
        <f>IF(G68=0,"",(H68-G68*0.891738)/(G68*0.891738))</f>
        <v/>
      </c>
      <c r="L68" s="3" t="n">
        <v>-35</v>
      </c>
      <c r="M68" s="3" t="n">
        <v>0</v>
      </c>
      <c r="N68" s="3" t="n">
        <v>-354</v>
      </c>
      <c r="O68" s="3" t="n">
        <v>0</v>
      </c>
      <c r="P68" s="3" t="n">
        <v>0</v>
      </c>
      <c r="Q68" s="3">
        <f>SUM(L68:P68)-I68</f>
        <v/>
      </c>
    </row>
    <row r="69">
      <c r="A69" s="2" t="inlineStr">
        <is>
          <t>timothy-english</t>
        </is>
      </c>
      <c r="B69" s="2" t="inlineStr">
        <is>
          <t>Timothy English</t>
        </is>
      </c>
      <c r="C69" s="2" t="inlineStr">
        <is>
          <t>Western Bulldogs</t>
        </is>
      </c>
      <c r="D69" s="2" t="inlineStr">
        <is>
          <t>RUCK</t>
        </is>
      </c>
      <c r="E69" s="2" t="n">
        <v>29</v>
      </c>
      <c r="F69" s="2" t="inlineStr">
        <is>
          <t>National pick 19</t>
        </is>
      </c>
      <c r="G69" s="3" t="n">
        <v>4220</v>
      </c>
      <c r="H69" s="3" t="n">
        <v>3711</v>
      </c>
      <c r="I69" s="3">
        <f>H69-G69</f>
        <v/>
      </c>
      <c r="J69" s="4">
        <f>IF(G69=0,"",(H69-G69)/G69)</f>
        <v/>
      </c>
      <c r="K69" s="4">
        <f>IF(G69=0,"",(H69-G69*0.891738)/(G69*0.891738))</f>
        <v/>
      </c>
      <c r="L69" s="3" t="n">
        <v>-59</v>
      </c>
      <c r="M69" s="3" t="n">
        <v>0</v>
      </c>
      <c r="N69" s="3" t="n">
        <v>-450</v>
      </c>
      <c r="O69" s="3" t="n">
        <v>0</v>
      </c>
      <c r="P69" s="3" t="n">
        <v>0</v>
      </c>
      <c r="Q69" s="3">
        <f>SUM(L69:P69)-I69</f>
        <v/>
      </c>
    </row>
    <row r="70">
      <c r="A70" s="2" t="inlineStr">
        <is>
          <t>aaron-cadman</t>
        </is>
      </c>
      <c r="B70" s="2" t="inlineStr">
        <is>
          <t>Aaron Cadman</t>
        </is>
      </c>
      <c r="C70" s="2" t="inlineStr">
        <is>
          <t>GWS</t>
        </is>
      </c>
      <c r="D70" s="2" t="inlineStr">
        <is>
          <t>KPF</t>
        </is>
      </c>
      <c r="E70" s="2" t="n">
        <v>22</v>
      </c>
      <c r="F70" s="2" t="inlineStr">
        <is>
          <t>National pick 1</t>
        </is>
      </c>
      <c r="G70" s="3" t="n">
        <v>1802</v>
      </c>
      <c r="H70" s="3" t="n">
        <v>1554</v>
      </c>
      <c r="I70" s="3">
        <f>H70-G70</f>
        <v/>
      </c>
      <c r="J70" s="4">
        <f>IF(G70=0,"",(H70-G70)/G70)</f>
        <v/>
      </c>
      <c r="K70" s="4">
        <f>IF(G70=0,"",(H70-G70*0.891738)/(G70*0.891738))</f>
        <v/>
      </c>
      <c r="L70" s="3" t="n">
        <v>-59</v>
      </c>
      <c r="M70" s="3" t="n">
        <v>0</v>
      </c>
      <c r="N70" s="3" t="n">
        <v>-189</v>
      </c>
      <c r="O70" s="3" t="n">
        <v>0</v>
      </c>
      <c r="P70" s="3" t="n">
        <v>0</v>
      </c>
      <c r="Q70" s="3">
        <f>SUM(L70:P70)-I70</f>
        <v/>
      </c>
    </row>
    <row r="71">
      <c r="A71" s="2" t="inlineStr">
        <is>
          <t>tim-taranto</t>
        </is>
      </c>
      <c r="B71" s="2" t="inlineStr">
        <is>
          <t>Tim Taranto</t>
        </is>
      </c>
      <c r="C71" s="2" t="inlineStr">
        <is>
          <t>Richmond</t>
        </is>
      </c>
      <c r="D71" s="2" t="inlineStr">
        <is>
          <t>MID</t>
        </is>
      </c>
      <c r="E71" s="2" t="n">
        <v>28</v>
      </c>
      <c r="F71" s="2" t="inlineStr">
        <is>
          <t>National pick 2</t>
        </is>
      </c>
      <c r="G71" s="3" t="n">
        <v>2596</v>
      </c>
      <c r="H71" s="3" t="n">
        <v>2281</v>
      </c>
      <c r="I71" s="3">
        <f>H71-G71</f>
        <v/>
      </c>
      <c r="J71" s="4">
        <f>IF(G71=0,"",(H71-G71)/G71)</f>
        <v/>
      </c>
      <c r="K71" s="4">
        <f>IF(G71=0,"",(H71-G71*0.891738)/(G71*0.891738))</f>
        <v/>
      </c>
      <c r="L71" s="3" t="n">
        <v>-37</v>
      </c>
      <c r="M71" s="3" t="n">
        <v>0</v>
      </c>
      <c r="N71" s="3" t="n">
        <v>-278</v>
      </c>
      <c r="O71" s="3" t="n">
        <v>0</v>
      </c>
      <c r="P71" s="3" t="n">
        <v>0</v>
      </c>
      <c r="Q71" s="3">
        <f>SUM(L71:P71)-I71</f>
        <v/>
      </c>
    </row>
    <row r="72">
      <c r="A72" s="2" t="inlineStr">
        <is>
          <t>josh-worrell</t>
        </is>
      </c>
      <c r="B72" s="2" t="inlineStr">
        <is>
          <t>Josh Worrell</t>
        </is>
      </c>
      <c r="C72" s="2" t="inlineStr">
        <is>
          <t>Adelaide</t>
        </is>
      </c>
      <c r="D72" s="2" t="inlineStr">
        <is>
          <t>SD</t>
        </is>
      </c>
      <c r="E72" s="2" t="n">
        <v>25</v>
      </c>
      <c r="F72" s="2" t="inlineStr">
        <is>
          <t>National pick 28</t>
        </is>
      </c>
      <c r="G72" s="3" t="n">
        <v>3663</v>
      </c>
      <c r="H72" s="3" t="n">
        <v>3222</v>
      </c>
      <c r="I72" s="3">
        <f>H72-G72</f>
        <v/>
      </c>
      <c r="J72" s="4">
        <f>IF(G72=0,"",(H72-G72)/G72)</f>
        <v/>
      </c>
      <c r="K72" s="4">
        <f>IF(G72=0,"",(H72-G72*0.891738)/(G72*0.891738))</f>
        <v/>
      </c>
      <c r="L72" s="3" t="n">
        <v>-50</v>
      </c>
      <c r="M72" s="3" t="n">
        <v>0</v>
      </c>
      <c r="N72" s="3" t="n">
        <v>-391</v>
      </c>
      <c r="O72" s="3" t="n">
        <v>0</v>
      </c>
      <c r="P72" s="3" t="n">
        <v>0</v>
      </c>
      <c r="Q72" s="3">
        <f>SUM(L72:P72)-I72</f>
        <v/>
      </c>
    </row>
    <row r="73">
      <c r="A73" s="2" t="inlineStr">
        <is>
          <t>connor-rozee</t>
        </is>
      </c>
      <c r="B73" s="2" t="inlineStr">
        <is>
          <t>Connor Rozee</t>
        </is>
      </c>
      <c r="C73" s="2" t="inlineStr">
        <is>
          <t>Port Adelaide</t>
        </is>
      </c>
      <c r="D73" s="2" t="inlineStr">
        <is>
          <t>MID</t>
        </is>
      </c>
      <c r="E73" s="2" t="n">
        <v>26</v>
      </c>
      <c r="F73" s="2" t="inlineStr">
        <is>
          <t>National pick 5</t>
        </is>
      </c>
      <c r="G73" s="3" t="n">
        <v>2830</v>
      </c>
      <c r="H73" s="3" t="n">
        <v>2488</v>
      </c>
      <c r="I73" s="3">
        <f>H73-G73</f>
        <v/>
      </c>
      <c r="J73" s="4">
        <f>IF(G73=0,"",(H73-G73)/G73)</f>
        <v/>
      </c>
      <c r="K73" s="4">
        <f>IF(G73=0,"",(H73-G73*0.891738)/(G73*0.891738))</f>
        <v/>
      </c>
      <c r="L73" s="3" t="n">
        <v>-41</v>
      </c>
      <c r="M73" s="3" t="n">
        <v>0</v>
      </c>
      <c r="N73" s="3" t="n">
        <v>-301</v>
      </c>
      <c r="O73" s="3" t="n">
        <v>0</v>
      </c>
      <c r="P73" s="3" t="n">
        <v>0</v>
      </c>
      <c r="Q73" s="3">
        <f>SUM(L73:P73)-I73</f>
        <v/>
      </c>
    </row>
    <row r="74">
      <c r="A74" s="2" t="inlineStr">
        <is>
          <t>andrew-brayshaw</t>
        </is>
      </c>
      <c r="B74" s="2" t="inlineStr">
        <is>
          <t>Andrew Brayshaw</t>
        </is>
      </c>
      <c r="C74" s="2" t="inlineStr">
        <is>
          <t>Fremantle</t>
        </is>
      </c>
      <c r="D74" s="2" t="inlineStr">
        <is>
          <t>MID</t>
        </is>
      </c>
      <c r="E74" s="2" t="n">
        <v>27</v>
      </c>
      <c r="F74" s="2" t="inlineStr">
        <is>
          <t>National pick 2</t>
        </is>
      </c>
      <c r="G74" s="3" t="n">
        <v>3113</v>
      </c>
      <c r="H74" s="3" t="n">
        <v>2737</v>
      </c>
      <c r="I74" s="3">
        <f>H74-G74</f>
        <v/>
      </c>
      <c r="J74" s="4">
        <f>IF(G74=0,"",(H74-G74)/G74)</f>
        <v/>
      </c>
      <c r="K74" s="4">
        <f>IF(G74=0,"",(H74-G74*0.891738)/(G74*0.891738))</f>
        <v/>
      </c>
      <c r="L74" s="3" t="n">
        <v>-45</v>
      </c>
      <c r="M74" s="3" t="n">
        <v>0</v>
      </c>
      <c r="N74" s="3" t="n">
        <v>-331</v>
      </c>
      <c r="O74" s="3" t="n">
        <v>0</v>
      </c>
      <c r="P74" s="3" t="n">
        <v>0</v>
      </c>
      <c r="Q74" s="3">
        <f>SUM(L74:P74)-I74</f>
        <v/>
      </c>
    </row>
    <row r="75">
      <c r="A75" s="2" t="inlineStr">
        <is>
          <t>mitchito-owens</t>
        </is>
      </c>
      <c r="B75" s="2" t="inlineStr">
        <is>
          <t>Mitchito Owens</t>
        </is>
      </c>
      <c r="C75" s="2" t="inlineStr">
        <is>
          <t>St Kilda</t>
        </is>
      </c>
      <c r="D75" s="2" t="inlineStr">
        <is>
          <t>KPF</t>
        </is>
      </c>
      <c r="E75" s="2" t="n">
        <v>23</v>
      </c>
      <c r="F75" s="2" t="inlineStr">
        <is>
          <t>National pick 33</t>
        </is>
      </c>
      <c r="G75" s="3" t="n">
        <v>2071</v>
      </c>
      <c r="H75" s="3" t="n">
        <v>1812</v>
      </c>
      <c r="I75" s="3">
        <f>H75-G75</f>
        <v/>
      </c>
      <c r="J75" s="4">
        <f>IF(G75=0,"",(H75-G75)/G75)</f>
        <v/>
      </c>
      <c r="K75" s="4">
        <f>IF(G75=0,"",(H75-G75*0.891738)/(G75*0.891738))</f>
        <v/>
      </c>
      <c r="L75" s="3" t="n">
        <v>-33</v>
      </c>
      <c r="M75" s="3" t="n">
        <v>-6</v>
      </c>
      <c r="N75" s="3" t="n">
        <v>-220</v>
      </c>
      <c r="O75" s="3" t="n">
        <v>0</v>
      </c>
      <c r="P75" s="3" t="n">
        <v>0</v>
      </c>
      <c r="Q75" s="3">
        <f>SUM(L75:P75)-I75</f>
        <v/>
      </c>
    </row>
    <row r="76">
      <c r="A76" s="2" t="inlineStr">
        <is>
          <t>nick-blakey</t>
        </is>
      </c>
      <c r="B76" s="2" t="inlineStr">
        <is>
          <t>Nick Blakey</t>
        </is>
      </c>
      <c r="C76" s="2" t="inlineStr">
        <is>
          <t>Sydney</t>
        </is>
      </c>
      <c r="D76" s="2" t="inlineStr">
        <is>
          <t>SD</t>
        </is>
      </c>
      <c r="E76" s="2" t="n">
        <v>26</v>
      </c>
      <c r="F76" s="2" t="inlineStr">
        <is>
          <t>National pick 10</t>
        </is>
      </c>
      <c r="G76" s="3" t="n">
        <v>4358</v>
      </c>
      <c r="H76" s="3" t="n">
        <v>3833</v>
      </c>
      <c r="I76" s="3">
        <f>H76-G76</f>
        <v/>
      </c>
      <c r="J76" s="4">
        <f>IF(G76=0,"",(H76-G76)/G76)</f>
        <v/>
      </c>
      <c r="K76" s="4">
        <f>IF(G76=0,"",(H76-G76*0.891738)/(G76*0.891738))</f>
        <v/>
      </c>
      <c r="L76" s="3" t="n">
        <v>-59</v>
      </c>
      <c r="M76" s="3" t="n">
        <v>0</v>
      </c>
      <c r="N76" s="3" t="n">
        <v>-466</v>
      </c>
      <c r="O76" s="3" t="n">
        <v>0</v>
      </c>
      <c r="P76" s="3" t="n">
        <v>0</v>
      </c>
      <c r="Q76" s="3">
        <f>SUM(L76:P76)-I76</f>
        <v/>
      </c>
    </row>
    <row r="77">
      <c r="A77" s="2" t="inlineStr">
        <is>
          <t>sid-draper</t>
        </is>
      </c>
      <c r="B77" s="2" t="inlineStr">
        <is>
          <t>Sid Draper</t>
        </is>
      </c>
      <c r="C77" s="2" t="inlineStr">
        <is>
          <t>Adelaide</t>
        </is>
      </c>
      <c r="D77" s="2" t="inlineStr">
        <is>
          <t>MID</t>
        </is>
      </c>
      <c r="E77" s="2" t="n">
        <v>20</v>
      </c>
      <c r="F77" s="2" t="inlineStr">
        <is>
          <t>National pick 4</t>
        </is>
      </c>
      <c r="G77" s="3" t="n">
        <v>1144</v>
      </c>
      <c r="H77" s="3" t="n">
        <v>951</v>
      </c>
      <c r="I77" s="3">
        <f>H77-G77</f>
        <v/>
      </c>
      <c r="J77" s="4">
        <f>IF(G77=0,"",(H77-G77)/G77)</f>
        <v/>
      </c>
      <c r="K77" s="4">
        <f>IF(G77=0,"",(H77-G77*0.891738)/(G77*0.891738))</f>
        <v/>
      </c>
      <c r="L77" s="3" t="n">
        <v>-77</v>
      </c>
      <c r="M77" s="3" t="n">
        <v>0</v>
      </c>
      <c r="N77" s="3" t="n">
        <v>-116</v>
      </c>
      <c r="O77" s="3" t="n">
        <v>0</v>
      </c>
      <c r="P77" s="3" t="n">
        <v>0</v>
      </c>
      <c r="Q77" s="3">
        <f>SUM(L77:P77)-I77</f>
        <v/>
      </c>
    </row>
    <row r="78">
      <c r="A78" s="2" t="inlineStr">
        <is>
          <t>nicholas-martin</t>
        </is>
      </c>
      <c r="B78" s="2" t="inlineStr">
        <is>
          <t>Nicholas Martin</t>
        </is>
      </c>
      <c r="C78" s="2" t="inlineStr">
        <is>
          <t>Essendon</t>
        </is>
      </c>
      <c r="D78" s="2" t="inlineStr">
        <is>
          <t>MID</t>
        </is>
      </c>
      <c r="E78" s="2" t="n">
        <v>25</v>
      </c>
      <c r="F78" s="2" t="inlineStr">
        <is>
          <t>SSP (pool)</t>
        </is>
      </c>
      <c r="G78" s="3" t="n">
        <v>3598</v>
      </c>
      <c r="H78" s="3" t="n">
        <v>3138</v>
      </c>
      <c r="I78" s="3">
        <f>H78-G78</f>
        <v/>
      </c>
      <c r="J78" s="4">
        <f>IF(G78=0,"",(H78-G78)/G78)</f>
        <v/>
      </c>
      <c r="K78" s="4">
        <f>IF(G78=0,"",(H78-G78*0.891738)/(G78*0.891738))</f>
        <v/>
      </c>
      <c r="L78" s="3" t="n">
        <v>-80</v>
      </c>
      <c r="M78" s="3" t="n">
        <v>0</v>
      </c>
      <c r="N78" s="3" t="n">
        <v>-380</v>
      </c>
      <c r="O78" s="3" t="n">
        <v>0</v>
      </c>
      <c r="P78" s="3" t="n">
        <v>0</v>
      </c>
      <c r="Q78" s="3">
        <f>SUM(L78:P78)-I78</f>
        <v/>
      </c>
    </row>
    <row r="79">
      <c r="A79" s="2" t="inlineStr">
        <is>
          <t>jack-ross</t>
        </is>
      </c>
      <c r="B79" s="2" t="inlineStr">
        <is>
          <t>Jack Ross</t>
        </is>
      </c>
      <c r="C79" s="2" t="inlineStr">
        <is>
          <t>Richmond</t>
        </is>
      </c>
      <c r="D79" s="2" t="inlineStr">
        <is>
          <t>MID</t>
        </is>
      </c>
      <c r="E79" s="2" t="n">
        <v>26</v>
      </c>
      <c r="F79" s="2" t="inlineStr">
        <is>
          <t>National pick 43</t>
        </is>
      </c>
      <c r="G79" s="3" t="n">
        <v>2727</v>
      </c>
      <c r="H79" s="3" t="n">
        <v>2398</v>
      </c>
      <c r="I79" s="3">
        <f>H79-G79</f>
        <v/>
      </c>
      <c r="J79" s="4">
        <f>IF(G79=0,"",(H79-G79)/G79)</f>
        <v/>
      </c>
      <c r="K79" s="4">
        <f>IF(G79=0,"",(H79-G79*0.891738)/(G79*0.891738))</f>
        <v/>
      </c>
      <c r="L79" s="3" t="n">
        <v>-38</v>
      </c>
      <c r="M79" s="3" t="n">
        <v>0</v>
      </c>
      <c r="N79" s="3" t="n">
        <v>-291</v>
      </c>
      <c r="O79" s="3" t="n">
        <v>0</v>
      </c>
      <c r="P79" s="3" t="n">
        <v>0</v>
      </c>
      <c r="Q79" s="3">
        <f>SUM(L79:P79)-I79</f>
        <v/>
      </c>
    </row>
    <row r="80">
      <c r="A80" s="2" t="inlineStr">
        <is>
          <t>sam-flanders</t>
        </is>
      </c>
      <c r="B80" s="2" t="inlineStr">
        <is>
          <t>Sam Flanders</t>
        </is>
      </c>
      <c r="C80" s="2" t="inlineStr">
        <is>
          <t>St Kilda</t>
        </is>
      </c>
      <c r="D80" s="2" t="inlineStr">
        <is>
          <t>MID</t>
        </is>
      </c>
      <c r="E80" s="2" t="n">
        <v>25</v>
      </c>
      <c r="F80" s="2" t="inlineStr">
        <is>
          <t>National pick 11</t>
        </is>
      </c>
      <c r="G80" s="3" t="n">
        <v>2091</v>
      </c>
      <c r="H80" s="3" t="n">
        <v>1836</v>
      </c>
      <c r="I80" s="3">
        <f>H80-G80</f>
        <v/>
      </c>
      <c r="J80" s="4">
        <f>IF(G80=0,"",(H80-G80)/G80)</f>
        <v/>
      </c>
      <c r="K80" s="4">
        <f>IF(G80=0,"",(H80-G80*0.891738)/(G80*0.891738))</f>
        <v/>
      </c>
      <c r="L80" s="3" t="n">
        <v>-32</v>
      </c>
      <c r="M80" s="3" t="n">
        <v>0</v>
      </c>
      <c r="N80" s="3" t="n">
        <v>-223</v>
      </c>
      <c r="O80" s="3" t="n">
        <v>0</v>
      </c>
      <c r="P80" s="3" t="n">
        <v>0</v>
      </c>
      <c r="Q80" s="3">
        <f>SUM(L80:P80)-I80</f>
        <v/>
      </c>
    </row>
    <row r="81">
      <c r="A81" s="2" t="inlineStr">
        <is>
          <t>zachary-merrett</t>
        </is>
      </c>
      <c r="B81" s="2" t="inlineStr">
        <is>
          <t>Zachary Merrett</t>
        </is>
      </c>
      <c r="C81" s="2" t="inlineStr">
        <is>
          <t>Essendon</t>
        </is>
      </c>
      <c r="D81" s="2" t="inlineStr">
        <is>
          <t>MID</t>
        </is>
      </c>
      <c r="E81" s="2" t="n">
        <v>31</v>
      </c>
      <c r="F81" s="2" t="inlineStr">
        <is>
          <t>National pick 26</t>
        </is>
      </c>
      <c r="G81" s="3" t="n">
        <v>2713</v>
      </c>
      <c r="H81" s="3" t="n">
        <v>2386</v>
      </c>
      <c r="I81" s="3">
        <f>H81-G81</f>
        <v/>
      </c>
      <c r="J81" s="4">
        <f>IF(G81=0,"",(H81-G81)/G81)</f>
        <v/>
      </c>
      <c r="K81" s="4">
        <f>IF(G81=0,"",(H81-G81*0.891738)/(G81*0.891738))</f>
        <v/>
      </c>
      <c r="L81" s="3" t="n">
        <v>-38</v>
      </c>
      <c r="M81" s="3" t="n">
        <v>0</v>
      </c>
      <c r="N81" s="3" t="n">
        <v>-289</v>
      </c>
      <c r="O81" s="3" t="n">
        <v>0</v>
      </c>
      <c r="P81" s="3" t="n">
        <v>0</v>
      </c>
      <c r="Q81" s="3">
        <f>SUM(L81:P81)-I81</f>
        <v/>
      </c>
    </row>
    <row r="82">
      <c r="A82" s="2" t="inlineStr">
        <is>
          <t>dylan-patterson</t>
        </is>
      </c>
      <c r="B82" s="2" t="inlineStr">
        <is>
          <t>Dylan Patterson</t>
        </is>
      </c>
      <c r="C82" s="2" t="inlineStr">
        <is>
          <t>Gold Coast</t>
        </is>
      </c>
      <c r="D82" s="2" t="inlineStr">
        <is>
          <t>SD</t>
        </is>
      </c>
      <c r="E82" s="2" t="n">
        <v>19</v>
      </c>
      <c r="F82" s="2" t="inlineStr">
        <is>
          <t>National pick 5</t>
        </is>
      </c>
      <c r="G82" s="3" t="n">
        <v>1719</v>
      </c>
      <c r="H82" s="3" t="n">
        <v>1419</v>
      </c>
      <c r="I82" s="3">
        <f>H82-G82</f>
        <v/>
      </c>
      <c r="J82" s="4">
        <f>IF(G82=0,"",(H82-G82)/G82)</f>
        <v/>
      </c>
      <c r="K82" s="4">
        <f>IF(G82=0,"",(H82-G82*0.891738)/(G82*0.891738))</f>
        <v/>
      </c>
      <c r="L82" s="3" t="n">
        <v>-120</v>
      </c>
      <c r="M82" s="3" t="n">
        <v>0</v>
      </c>
      <c r="N82" s="3" t="n">
        <v>-170</v>
      </c>
      <c r="O82" s="3" t="n">
        <v>-7</v>
      </c>
      <c r="P82" s="3" t="n">
        <v>-3</v>
      </c>
      <c r="Q82" s="3">
        <f>SUM(L82:P82)-I82</f>
        <v/>
      </c>
    </row>
    <row r="83">
      <c r="A83" s="2" t="inlineStr">
        <is>
          <t>harvey-thomas</t>
        </is>
      </c>
      <c r="B83" s="2" t="inlineStr">
        <is>
          <t>Harvey Thomas</t>
        </is>
      </c>
      <c r="C83" s="2" t="inlineStr">
        <is>
          <t>GWS</t>
        </is>
      </c>
      <c r="D83" s="2" t="inlineStr">
        <is>
          <t>MID</t>
        </is>
      </c>
      <c r="E83" s="2" t="n">
        <v>21</v>
      </c>
      <c r="F83" s="2" t="inlineStr">
        <is>
          <t>National pick 59</t>
        </is>
      </c>
      <c r="G83" s="3" t="n">
        <v>2171</v>
      </c>
      <c r="H83" s="3" t="n">
        <v>1893</v>
      </c>
      <c r="I83" s="3">
        <f>H83-G83</f>
        <v/>
      </c>
      <c r="J83" s="4">
        <f>IF(G83=0,"",(H83-G83)/G83)</f>
        <v/>
      </c>
      <c r="K83" s="4">
        <f>IF(G83=0,"",(H83-G83*0.891738)/(G83*0.891738))</f>
        <v/>
      </c>
      <c r="L83" s="3" t="n">
        <v>-48</v>
      </c>
      <c r="M83" s="3" t="n">
        <v>0</v>
      </c>
      <c r="N83" s="3" t="n">
        <v>-230</v>
      </c>
      <c r="O83" s="3" t="n">
        <v>0</v>
      </c>
      <c r="P83" s="3" t="n">
        <v>0</v>
      </c>
      <c r="Q83" s="3">
        <f>SUM(L83:P83)-I83</f>
        <v/>
      </c>
    </row>
    <row r="84">
      <c r="A84" s="2" t="inlineStr">
        <is>
          <t>christian-petracca</t>
        </is>
      </c>
      <c r="B84" s="2" t="inlineStr">
        <is>
          <t>Christian Petracca</t>
        </is>
      </c>
      <c r="C84" s="2" t="inlineStr">
        <is>
          <t>Gold Coast</t>
        </is>
      </c>
      <c r="D84" s="2" t="inlineStr">
        <is>
          <t>MID</t>
        </is>
      </c>
      <c r="E84" s="2" t="n">
        <v>30</v>
      </c>
      <c r="F84" s="2" t="inlineStr">
        <is>
          <t>National pick 2</t>
        </is>
      </c>
      <c r="G84" s="3" t="n">
        <v>2324</v>
      </c>
      <c r="H84" s="3" t="n">
        <v>2044</v>
      </c>
      <c r="I84" s="3">
        <f>H84-G84</f>
        <v/>
      </c>
      <c r="J84" s="4">
        <f>IF(G84=0,"",(H84-G84)/G84)</f>
        <v/>
      </c>
      <c r="K84" s="4">
        <f>IF(G84=0,"",(H84-G84*0.891738)/(G84*0.891738))</f>
        <v/>
      </c>
      <c r="L84" s="3" t="n">
        <v>-32</v>
      </c>
      <c r="M84" s="3" t="n">
        <v>0</v>
      </c>
      <c r="N84" s="3" t="n">
        <v>-248</v>
      </c>
      <c r="O84" s="3" t="n">
        <v>0</v>
      </c>
      <c r="P84" s="3" t="n">
        <v>0</v>
      </c>
      <c r="Q84" s="3">
        <f>SUM(L84:P84)-I84</f>
        <v/>
      </c>
    </row>
    <row r="85">
      <c r="A85" s="2" t="inlineStr">
        <is>
          <t>zac-bailey</t>
        </is>
      </c>
      <c r="B85" s="2" t="inlineStr">
        <is>
          <t>Zac Bailey</t>
        </is>
      </c>
      <c r="C85" s="2" t="inlineStr">
        <is>
          <t>Brisbane</t>
        </is>
      </c>
      <c r="D85" s="2" t="inlineStr">
        <is>
          <t>SF</t>
        </is>
      </c>
      <c r="E85" s="2" t="n">
        <v>27</v>
      </c>
      <c r="F85" s="2" t="inlineStr">
        <is>
          <t>National pick 15</t>
        </is>
      </c>
      <c r="G85" s="3" t="n">
        <v>2930</v>
      </c>
      <c r="H85" s="3" t="n">
        <v>2577</v>
      </c>
      <c r="I85" s="3">
        <f>H85-G85</f>
        <v/>
      </c>
      <c r="J85" s="4">
        <f>IF(G85=0,"",(H85-G85)/G85)</f>
        <v/>
      </c>
      <c r="K85" s="4">
        <f>IF(G85=0,"",(H85-G85*0.891738)/(G85*0.891738))</f>
        <v/>
      </c>
      <c r="L85" s="3" t="n">
        <v>-40</v>
      </c>
      <c r="M85" s="3" t="n">
        <v>0</v>
      </c>
      <c r="N85" s="3" t="n">
        <v>-313</v>
      </c>
      <c r="O85" s="3" t="n">
        <v>0</v>
      </c>
      <c r="P85" s="3" t="n">
        <v>0</v>
      </c>
      <c r="Q85" s="3">
        <f>SUM(L85:P85)-I85</f>
        <v/>
      </c>
    </row>
    <row r="86">
      <c r="A86" s="2" t="inlineStr">
        <is>
          <t>jordan-clark</t>
        </is>
      </c>
      <c r="B86" s="2" t="inlineStr">
        <is>
          <t>Jordan Clark</t>
        </is>
      </c>
      <c r="C86" s="2" t="inlineStr">
        <is>
          <t>Fremantle</t>
        </is>
      </c>
      <c r="D86" s="2" t="inlineStr">
        <is>
          <t>SD</t>
        </is>
      </c>
      <c r="E86" s="2" t="n">
        <v>26</v>
      </c>
      <c r="F86" s="2" t="inlineStr">
        <is>
          <t>National pick 15</t>
        </is>
      </c>
      <c r="G86" s="3" t="n">
        <v>3591</v>
      </c>
      <c r="H86" s="3" t="n">
        <v>3158</v>
      </c>
      <c r="I86" s="3">
        <f>H86-G86</f>
        <v/>
      </c>
      <c r="J86" s="4">
        <f>IF(G86=0,"",(H86-G86)/G86)</f>
        <v/>
      </c>
      <c r="K86" s="4">
        <f>IF(G86=0,"",(H86-G86*0.891738)/(G86*0.891738))</f>
        <v/>
      </c>
      <c r="L86" s="3" t="n">
        <v>-49</v>
      </c>
      <c r="M86" s="3" t="n">
        <v>0</v>
      </c>
      <c r="N86" s="3" t="n">
        <v>-384</v>
      </c>
      <c r="O86" s="3" t="n">
        <v>0</v>
      </c>
      <c r="P86" s="3" t="n">
        <v>0</v>
      </c>
      <c r="Q86" s="3">
        <f>SUM(L86:P86)-I86</f>
        <v/>
      </c>
    </row>
    <row r="87">
      <c r="A87" s="2" t="inlineStr">
        <is>
          <t>shannon-neale</t>
        </is>
      </c>
      <c r="B87" s="2" t="inlineStr">
        <is>
          <t>Shannon Neale</t>
        </is>
      </c>
      <c r="C87" s="2" t="inlineStr">
        <is>
          <t>Geelong</t>
        </is>
      </c>
      <c r="D87" s="2" t="inlineStr">
        <is>
          <t>KPF</t>
        </is>
      </c>
      <c r="E87" s="2" t="n">
        <v>24</v>
      </c>
      <c r="F87" s="2" t="inlineStr">
        <is>
          <t>National pick 35</t>
        </is>
      </c>
      <c r="G87" s="3" t="n">
        <v>2413</v>
      </c>
      <c r="H87" s="3" t="n">
        <v>2118</v>
      </c>
      <c r="I87" s="3">
        <f>H87-G87</f>
        <v/>
      </c>
      <c r="J87" s="4">
        <f>IF(G87=0,"",(H87-G87)/G87)</f>
        <v/>
      </c>
      <c r="K87" s="4">
        <f>IF(G87=0,"",(H87-G87*0.891738)/(G87*0.891738))</f>
        <v/>
      </c>
      <c r="L87" s="3" t="n">
        <v>-30</v>
      </c>
      <c r="M87" s="3" t="n">
        <v>-7</v>
      </c>
      <c r="N87" s="3" t="n">
        <v>-258</v>
      </c>
      <c r="O87" s="3" t="n">
        <v>0</v>
      </c>
      <c r="P87" s="3" t="n">
        <v>0</v>
      </c>
      <c r="Q87" s="3">
        <f>SUM(L87:P87)-I87</f>
        <v/>
      </c>
    </row>
    <row r="88">
      <c r="A88" s="2" t="inlineStr">
        <is>
          <t>jacob-farrow</t>
        </is>
      </c>
      <c r="B88" s="2" t="inlineStr">
        <is>
          <t>Jacob Farrow</t>
        </is>
      </c>
      <c r="C88" s="2" t="inlineStr">
        <is>
          <t>Essendon</t>
        </is>
      </c>
      <c r="D88" s="2" t="inlineStr">
        <is>
          <t>SD</t>
        </is>
      </c>
      <c r="E88" s="2" t="n">
        <v>19</v>
      </c>
      <c r="F88" s="2" t="inlineStr">
        <is>
          <t>National pick 10</t>
        </is>
      </c>
      <c r="G88" s="3" t="n">
        <v>2651</v>
      </c>
      <c r="H88" s="3" t="n">
        <v>2290</v>
      </c>
      <c r="I88" s="3">
        <f>H88-G88</f>
        <v/>
      </c>
      <c r="J88" s="4">
        <f>IF(G88=0,"",(H88-G88)/G88)</f>
        <v/>
      </c>
      <c r="K88" s="4">
        <f>IF(G88=0,"",(H88-G88*0.891738)/(G88*0.891738))</f>
        <v/>
      </c>
      <c r="L88" s="3" t="n">
        <v>-83</v>
      </c>
      <c r="M88" s="3" t="n">
        <v>0</v>
      </c>
      <c r="N88" s="3" t="n">
        <v>-278</v>
      </c>
      <c r="O88" s="3" t="n">
        <v>0</v>
      </c>
      <c r="P88" s="3" t="n">
        <v>0</v>
      </c>
      <c r="Q88" s="3">
        <f>SUM(L88:P88)-I88</f>
        <v/>
      </c>
    </row>
    <row r="89">
      <c r="A89" s="2" t="inlineStr">
        <is>
          <t>will-day</t>
        </is>
      </c>
      <c r="B89" s="2" t="inlineStr">
        <is>
          <t>Will Day</t>
        </is>
      </c>
      <c r="C89" s="2" t="inlineStr">
        <is>
          <t>Hawthorn</t>
        </is>
      </c>
      <c r="D89" s="2" t="inlineStr">
        <is>
          <t>MID</t>
        </is>
      </c>
      <c r="E89" s="2" t="n">
        <v>25</v>
      </c>
      <c r="F89" s="2" t="inlineStr">
        <is>
          <t>National pick 13</t>
        </is>
      </c>
      <c r="G89" s="3" t="n">
        <v>2777</v>
      </c>
      <c r="H89" s="3" t="n">
        <v>2440</v>
      </c>
      <c r="I89" s="3">
        <f>H89-G89</f>
        <v/>
      </c>
      <c r="J89" s="4">
        <f>IF(G89=0,"",(H89-G89)/G89)</f>
        <v/>
      </c>
      <c r="K89" s="4">
        <f>IF(G89=0,"",(H89-G89*0.891738)/(G89*0.891738))</f>
        <v/>
      </c>
      <c r="L89" s="3" t="n">
        <v>-40</v>
      </c>
      <c r="M89" s="3" t="n">
        <v>0</v>
      </c>
      <c r="N89" s="3" t="n">
        <v>-297</v>
      </c>
      <c r="O89" s="3" t="n">
        <v>0</v>
      </c>
      <c r="P89" s="3" t="n">
        <v>0</v>
      </c>
      <c r="Q89" s="3">
        <f>SUM(L89:P89)-I89</f>
        <v/>
      </c>
    </row>
    <row r="90">
      <c r="A90" s="2" t="inlineStr">
        <is>
          <t>izak-rankine</t>
        </is>
      </c>
      <c r="B90" s="2" t="inlineStr">
        <is>
          <t>Izak Rankine</t>
        </is>
      </c>
      <c r="C90" s="2" t="inlineStr">
        <is>
          <t>Adelaide</t>
        </is>
      </c>
      <c r="D90" s="2" t="inlineStr">
        <is>
          <t>SF</t>
        </is>
      </c>
      <c r="E90" s="2" t="n">
        <v>26</v>
      </c>
      <c r="F90" s="2" t="inlineStr">
        <is>
          <t>National pick 3</t>
        </is>
      </c>
      <c r="G90" s="3" t="n">
        <v>3558</v>
      </c>
      <c r="H90" s="3" t="n">
        <v>3129</v>
      </c>
      <c r="I90" s="3">
        <f>H90-G90</f>
        <v/>
      </c>
      <c r="J90" s="4">
        <f>IF(G90=0,"",(H90-G90)/G90)</f>
        <v/>
      </c>
      <c r="K90" s="4">
        <f>IF(G90=0,"",(H90-G90*0.891738)/(G90*0.891738))</f>
        <v/>
      </c>
      <c r="L90" s="3" t="n">
        <v>-50</v>
      </c>
      <c r="M90" s="3" t="n">
        <v>0</v>
      </c>
      <c r="N90" s="3" t="n">
        <v>-379</v>
      </c>
      <c r="O90" s="3" t="n">
        <v>0</v>
      </c>
      <c r="P90" s="3" t="n">
        <v>0</v>
      </c>
      <c r="Q90" s="3">
        <f>SUM(L90:P90)-I90</f>
        <v/>
      </c>
    </row>
    <row r="91">
      <c r="A91" s="2" t="inlineStr">
        <is>
          <t>rowan-marshall</t>
        </is>
      </c>
      <c r="B91" s="2" t="inlineStr">
        <is>
          <t>Rowan Marshall</t>
        </is>
      </c>
      <c r="C91" s="2" t="inlineStr">
        <is>
          <t>St Kilda</t>
        </is>
      </c>
      <c r="D91" s="2" t="inlineStr">
        <is>
          <t>RUCK</t>
        </is>
      </c>
      <c r="E91" s="2" t="n">
        <v>31</v>
      </c>
      <c r="F91" s="2" t="inlineStr">
        <is>
          <t>Rookie pick 8</t>
        </is>
      </c>
      <c r="G91" s="3" t="n">
        <v>2070</v>
      </c>
      <c r="H91" s="3" t="n">
        <v>1820</v>
      </c>
      <c r="I91" s="3">
        <f>H91-G91</f>
        <v/>
      </c>
      <c r="J91" s="4">
        <f>IF(G91=0,"",(H91-G91)/G91)</f>
        <v/>
      </c>
      <c r="K91" s="4">
        <f>IF(G91=0,"",(H91-G91*0.891738)/(G91*0.891738))</f>
        <v/>
      </c>
      <c r="L91" s="3" t="n">
        <v>-30</v>
      </c>
      <c r="M91" s="3" t="n">
        <v>0</v>
      </c>
      <c r="N91" s="3" t="n">
        <v>-220</v>
      </c>
      <c r="O91" s="3" t="n">
        <v>0</v>
      </c>
      <c r="P91" s="3" t="n">
        <v>0</v>
      </c>
      <c r="Q91" s="3">
        <f>SUM(L91:P91)-I91</f>
        <v/>
      </c>
    </row>
    <row r="92">
      <c r="A92" s="2" t="inlineStr">
        <is>
          <t>clayton-oliver</t>
        </is>
      </c>
      <c r="B92" s="2" t="inlineStr">
        <is>
          <t>Clayton Oliver</t>
        </is>
      </c>
      <c r="C92" s="2" t="inlineStr">
        <is>
          <t>GWS</t>
        </is>
      </c>
      <c r="D92" s="2" t="inlineStr">
        <is>
          <t>MID</t>
        </is>
      </c>
      <c r="E92" s="2" t="n">
        <v>29</v>
      </c>
      <c r="F92" s="2" t="inlineStr">
        <is>
          <t>National pick 4</t>
        </is>
      </c>
      <c r="G92" s="3" t="n">
        <v>2398</v>
      </c>
      <c r="H92" s="3" t="n">
        <v>2109</v>
      </c>
      <c r="I92" s="3">
        <f>H92-G92</f>
        <v/>
      </c>
      <c r="J92" s="4">
        <f>IF(G92=0,"",(H92-G92)/G92)</f>
        <v/>
      </c>
      <c r="K92" s="4">
        <f>IF(G92=0,"",(H92-G92*0.891738)/(G92*0.891738))</f>
        <v/>
      </c>
      <c r="L92" s="3" t="n">
        <v>-33</v>
      </c>
      <c r="M92" s="3" t="n">
        <v>0</v>
      </c>
      <c r="N92" s="3" t="n">
        <v>-256</v>
      </c>
      <c r="O92" s="3" t="n">
        <v>0</v>
      </c>
      <c r="P92" s="3" t="n">
        <v>0</v>
      </c>
      <c r="Q92" s="3">
        <f>SUM(L92:P92)-I92</f>
        <v/>
      </c>
    </row>
    <row r="93">
      <c r="A93" s="2" t="inlineStr">
        <is>
          <t>logan-mcdonald</t>
        </is>
      </c>
      <c r="B93" s="2" t="inlineStr">
        <is>
          <t>Logan McDonald</t>
        </is>
      </c>
      <c r="C93" s="2" t="inlineStr">
        <is>
          <t>Sydney</t>
        </is>
      </c>
      <c r="D93" s="2" t="inlineStr">
        <is>
          <t>KPF</t>
        </is>
      </c>
      <c r="E93" s="2" t="n">
        <v>24</v>
      </c>
      <c r="F93" s="2" t="inlineStr">
        <is>
          <t>National pick 4</t>
        </is>
      </c>
      <c r="G93" s="3" t="n">
        <v>683</v>
      </c>
      <c r="H93" s="3" t="n">
        <v>592</v>
      </c>
      <c r="I93" s="3">
        <f>H93-G93</f>
        <v/>
      </c>
      <c r="J93" s="4">
        <f>IF(G93=0,"",(H93-G93)/G93)</f>
        <v/>
      </c>
      <c r="K93" s="4">
        <f>IF(G93=0,"",(H93-G93*0.891738)/(G93*0.891738))</f>
        <v/>
      </c>
      <c r="L93" s="3" t="n">
        <v>-17</v>
      </c>
      <c r="M93" s="3" t="n">
        <v>-3</v>
      </c>
      <c r="N93" s="3" t="n">
        <v>-71</v>
      </c>
      <c r="O93" s="3" t="n">
        <v>0</v>
      </c>
      <c r="P93" s="3" t="n">
        <v>0</v>
      </c>
      <c r="Q93" s="3">
        <f>SUM(L93:P93)-I93</f>
        <v/>
      </c>
    </row>
    <row r="94">
      <c r="A94" s="2" t="inlineStr">
        <is>
          <t>josh-battle</t>
        </is>
      </c>
      <c r="B94" s="2" t="inlineStr">
        <is>
          <t>Josh Battle</t>
        </is>
      </c>
      <c r="C94" s="2" t="inlineStr">
        <is>
          <t>St Kilda</t>
        </is>
      </c>
      <c r="D94" s="2" t="inlineStr">
        <is>
          <t>KPD</t>
        </is>
      </c>
      <c r="E94" s="2" t="n">
        <v>28</v>
      </c>
      <c r="F94" s="2" t="inlineStr">
        <is>
          <t>National pick 39</t>
        </is>
      </c>
      <c r="G94" s="3" t="n">
        <v>2122</v>
      </c>
      <c r="H94" s="3" t="n">
        <v>1869</v>
      </c>
      <c r="I94" s="3">
        <f>H94-G94</f>
        <v/>
      </c>
      <c r="J94" s="4">
        <f>IF(G94=0,"",(H94-G94)/G94)</f>
        <v/>
      </c>
      <c r="K94" s="4">
        <f>IF(G94=0,"",(H94-G94*0.891738)/(G94*0.891738))</f>
        <v/>
      </c>
      <c r="L94" s="3" t="n">
        <v>-26</v>
      </c>
      <c r="M94" s="3" t="n">
        <v>0</v>
      </c>
      <c r="N94" s="3" t="n">
        <v>-227</v>
      </c>
      <c r="O94" s="3" t="n">
        <v>0</v>
      </c>
      <c r="P94" s="3" t="n">
        <v>0</v>
      </c>
      <c r="Q94" s="3">
        <f>SUM(L94:P94)-I94</f>
        <v/>
      </c>
    </row>
    <row r="95">
      <c r="A95" s="2" t="inlineStr">
        <is>
          <t>bailey-dale</t>
        </is>
      </c>
      <c r="B95" s="2" t="inlineStr">
        <is>
          <t>Bailey Dale</t>
        </is>
      </c>
      <c r="C95" s="2" t="inlineStr">
        <is>
          <t>Western Bulldogs</t>
        </is>
      </c>
      <c r="D95" s="2" t="inlineStr">
        <is>
          <t>SD</t>
        </is>
      </c>
      <c r="E95" s="2" t="n">
        <v>30</v>
      </c>
      <c r="F95" s="2" t="inlineStr">
        <is>
          <t>National pick 45</t>
        </is>
      </c>
      <c r="G95" s="3" t="n">
        <v>2287</v>
      </c>
      <c r="H95" s="3" t="n">
        <v>2012</v>
      </c>
      <c r="I95" s="3">
        <f>H95-G95</f>
        <v/>
      </c>
      <c r="J95" s="4">
        <f>IF(G95=0,"",(H95-G95)/G95)</f>
        <v/>
      </c>
      <c r="K95" s="4">
        <f>IF(G95=0,"",(H95-G95*0.891738)/(G95*0.891738))</f>
        <v/>
      </c>
      <c r="L95" s="3" t="n">
        <v>-31</v>
      </c>
      <c r="M95" s="3" t="n">
        <v>0</v>
      </c>
      <c r="N95" s="3" t="n">
        <v>-244</v>
      </c>
      <c r="O95" s="3" t="n">
        <v>0</v>
      </c>
      <c r="P95" s="3" t="n">
        <v>0</v>
      </c>
      <c r="Q95" s="3">
        <f>SUM(L95:P95)-I95</f>
        <v/>
      </c>
    </row>
    <row r="96">
      <c r="A96" s="2" t="inlineStr">
        <is>
          <t>connor-idun</t>
        </is>
      </c>
      <c r="B96" s="2" t="inlineStr">
        <is>
          <t>Connor Idun</t>
        </is>
      </c>
      <c r="C96" s="2" t="inlineStr">
        <is>
          <t>GWS</t>
        </is>
      </c>
      <c r="D96" s="2" t="inlineStr">
        <is>
          <t>SD</t>
        </is>
      </c>
      <c r="E96" s="2" t="n">
        <v>26</v>
      </c>
      <c r="F96" s="2" t="inlineStr">
        <is>
          <t>National pick 61</t>
        </is>
      </c>
      <c r="G96" s="3" t="n">
        <v>2283</v>
      </c>
      <c r="H96" s="3" t="n">
        <v>2009</v>
      </c>
      <c r="I96" s="3">
        <f>H96-G96</f>
        <v/>
      </c>
      <c r="J96" s="4">
        <f>IF(G96=0,"",(H96-G96)/G96)</f>
        <v/>
      </c>
      <c r="K96" s="4">
        <f>IF(G96=0,"",(H96-G96*0.891738)/(G96*0.891738))</f>
        <v/>
      </c>
      <c r="L96" s="3" t="n">
        <v>-30</v>
      </c>
      <c r="M96" s="3" t="n">
        <v>0</v>
      </c>
      <c r="N96" s="3" t="n">
        <v>-244</v>
      </c>
      <c r="O96" s="3" t="n">
        <v>0</v>
      </c>
      <c r="P96" s="3" t="n">
        <v>0</v>
      </c>
      <c r="Q96" s="3">
        <f>SUM(L96:P96)-I96</f>
        <v/>
      </c>
    </row>
    <row r="97">
      <c r="A97" s="2" t="inlineStr">
        <is>
          <t>lachie-whitfield</t>
        </is>
      </c>
      <c r="B97" s="2" t="inlineStr">
        <is>
          <t>Lachie Whitfield</t>
        </is>
      </c>
      <c r="C97" s="2" t="inlineStr">
        <is>
          <t>GWS</t>
        </is>
      </c>
      <c r="D97" s="2" t="inlineStr">
        <is>
          <t>SD</t>
        </is>
      </c>
      <c r="E97" s="2" t="n">
        <v>32</v>
      </c>
      <c r="F97" s="2" t="inlineStr">
        <is>
          <t>National pick 1</t>
        </is>
      </c>
      <c r="G97" s="3" t="n">
        <v>2235</v>
      </c>
      <c r="H97" s="3" t="n">
        <v>1966</v>
      </c>
      <c r="I97" s="3">
        <f>H97-G97</f>
        <v/>
      </c>
      <c r="J97" s="4">
        <f>IF(G97=0,"",(H97-G97)/G97)</f>
        <v/>
      </c>
      <c r="K97" s="4">
        <f>IF(G97=0,"",(H97-G97*0.891738)/(G97*0.891738))</f>
        <v/>
      </c>
      <c r="L97" s="3" t="n">
        <v>-31</v>
      </c>
      <c r="M97" s="3" t="n">
        <v>0</v>
      </c>
      <c r="N97" s="3" t="n">
        <v>-238</v>
      </c>
      <c r="O97" s="3" t="n">
        <v>0</v>
      </c>
      <c r="P97" s="3" t="n">
        <v>0</v>
      </c>
      <c r="Q97" s="3">
        <f>SUM(L97:P97)-I97</f>
        <v/>
      </c>
    </row>
    <row r="98">
      <c r="A98" s="2" t="inlineStr">
        <is>
          <t>shai-bolton</t>
        </is>
      </c>
      <c r="B98" s="2" t="inlineStr">
        <is>
          <t>Shai Bolton</t>
        </is>
      </c>
      <c r="C98" s="2" t="inlineStr">
        <is>
          <t>Fremantle</t>
        </is>
      </c>
      <c r="D98" s="2" t="inlineStr">
        <is>
          <t>SF</t>
        </is>
      </c>
      <c r="E98" s="2" t="n">
        <v>28</v>
      </c>
      <c r="F98" s="2" t="inlineStr">
        <is>
          <t>National pick 29</t>
        </is>
      </c>
      <c r="G98" s="3" t="n">
        <v>2211</v>
      </c>
      <c r="H98" s="3" t="n">
        <v>1944</v>
      </c>
      <c r="I98" s="3">
        <f>H98-G98</f>
        <v/>
      </c>
      <c r="J98" s="4">
        <f>IF(G98=0,"",(H98-G98)/G98)</f>
        <v/>
      </c>
      <c r="K98" s="4">
        <f>IF(G98=0,"",(H98-G98*0.891738)/(G98*0.891738))</f>
        <v/>
      </c>
      <c r="L98" s="3" t="n">
        <v>-31</v>
      </c>
      <c r="M98" s="3" t="n">
        <v>0</v>
      </c>
      <c r="N98" s="3" t="n">
        <v>-236</v>
      </c>
      <c r="O98" s="3" t="n">
        <v>0</v>
      </c>
      <c r="P98" s="3" t="n">
        <v>0</v>
      </c>
      <c r="Q98" s="3">
        <f>SUM(L98:P98)-I98</f>
        <v/>
      </c>
    </row>
    <row r="99">
      <c r="A99" s="2" t="inlineStr">
        <is>
          <t>toby-nankervis</t>
        </is>
      </c>
      <c r="B99" s="2" t="inlineStr">
        <is>
          <t>Toby Nankervis</t>
        </is>
      </c>
      <c r="C99" s="2" t="inlineStr">
        <is>
          <t>Richmond</t>
        </is>
      </c>
      <c r="D99" s="2" t="inlineStr">
        <is>
          <t>RUCK</t>
        </is>
      </c>
      <c r="E99" s="2" t="n">
        <v>32</v>
      </c>
      <c r="F99" s="2" t="inlineStr">
        <is>
          <t>National pick 35</t>
        </is>
      </c>
      <c r="G99" s="3" t="n">
        <v>2123</v>
      </c>
      <c r="H99" s="3" t="n">
        <v>1867</v>
      </c>
      <c r="I99" s="3">
        <f>H99-G99</f>
        <v/>
      </c>
      <c r="J99" s="4">
        <f>IF(G99=0,"",(H99-G99)/G99)</f>
        <v/>
      </c>
      <c r="K99" s="4">
        <f>IF(G99=0,"",(H99-G99*0.891738)/(G99*0.891738))</f>
        <v/>
      </c>
      <c r="L99" s="3" t="n">
        <v>-30</v>
      </c>
      <c r="M99" s="3" t="n">
        <v>0</v>
      </c>
      <c r="N99" s="3" t="n">
        <v>-226</v>
      </c>
      <c r="O99" s="3" t="n">
        <v>0</v>
      </c>
      <c r="P99" s="3" t="n">
        <v>0</v>
      </c>
      <c r="Q99" s="3">
        <f>SUM(L99:P99)-I99</f>
        <v/>
      </c>
    </row>
    <row r="100">
      <c r="A100" s="2" t="inlineStr">
        <is>
          <t>max-king-stk</t>
        </is>
      </c>
      <c r="B100" s="2" t="inlineStr">
        <is>
          <t>Max King</t>
        </is>
      </c>
      <c r="C100" s="2" t="inlineStr">
        <is>
          <t>St Kilda</t>
        </is>
      </c>
      <c r="D100" s="2" t="inlineStr">
        <is>
          <t>KPF</t>
        </is>
      </c>
      <c r="E100" s="2" t="n">
        <v>26</v>
      </c>
      <c r="F100" s="2" t="inlineStr">
        <is>
          <t>National pick 4</t>
        </is>
      </c>
      <c r="G100" s="3" t="n">
        <v>242</v>
      </c>
      <c r="H100" s="3" t="n">
        <v>213</v>
      </c>
      <c r="I100" s="3">
        <f>H100-G100</f>
        <v/>
      </c>
      <c r="J100" s="4">
        <f>IF(G100=0,"",(H100-G100)/G100)</f>
        <v/>
      </c>
      <c r="K100" s="4">
        <f>IF(G100=0,"",(H100-G100*0.891738)/(G100*0.891738))</f>
        <v/>
      </c>
      <c r="L100" s="3" t="n">
        <v>-3</v>
      </c>
      <c r="M100" s="3" t="n">
        <v>0</v>
      </c>
      <c r="N100" s="3" t="n">
        <v>-26</v>
      </c>
      <c r="O100" s="3" t="n">
        <v>0</v>
      </c>
      <c r="P100" s="3" t="n">
        <v>0</v>
      </c>
      <c r="Q100" s="3">
        <f>SUM(L100:P100)-I100</f>
        <v/>
      </c>
    </row>
    <row r="101">
      <c r="A101" s="2" t="inlineStr">
        <is>
          <t>daniel-annable</t>
        </is>
      </c>
      <c r="B101" s="2" t="inlineStr">
        <is>
          <t>Daniel Annable</t>
        </is>
      </c>
      <c r="C101" s="2" t="inlineStr">
        <is>
          <t>Brisbane</t>
        </is>
      </c>
      <c r="D101" s="2" t="inlineStr">
        <is>
          <t>MID</t>
        </is>
      </c>
      <c r="E101" s="2" t="n">
        <v>19</v>
      </c>
      <c r="F101" s="2" t="inlineStr">
        <is>
          <t>National pick 6</t>
        </is>
      </c>
      <c r="G101" s="3" t="n">
        <v>1364</v>
      </c>
      <c r="H101" s="3" t="n">
        <v>1230</v>
      </c>
      <c r="I101" s="3">
        <f>H101-G101</f>
        <v/>
      </c>
      <c r="J101" s="4">
        <f>IF(G101=0,"",(H101-G101)/G101)</f>
        <v/>
      </c>
      <c r="K101" s="4">
        <f>IF(G101=0,"",(H101-G101*0.891738)/(G101*0.891738))</f>
        <v/>
      </c>
      <c r="L101" s="3" t="n">
        <v>-58</v>
      </c>
      <c r="M101" s="3" t="n">
        <v>0</v>
      </c>
      <c r="N101" s="3" t="n">
        <v>-63</v>
      </c>
      <c r="O101" s="3" t="n">
        <v>-6</v>
      </c>
      <c r="P101" s="3" t="n">
        <v>-7</v>
      </c>
      <c r="Q101" s="3">
        <f>SUM(L101:P101)-I101</f>
        <v/>
      </c>
    </row>
    <row r="102">
      <c r="A102" s="2" t="inlineStr">
        <is>
          <t>alix-tauru</t>
        </is>
      </c>
      <c r="B102" s="2" t="inlineStr">
        <is>
          <t>Alix Tauru</t>
        </is>
      </c>
      <c r="C102" s="2" t="inlineStr">
        <is>
          <t>St Kilda</t>
        </is>
      </c>
      <c r="D102" s="2" t="inlineStr">
        <is>
          <t>KPD</t>
        </is>
      </c>
      <c r="E102" s="2" t="n">
        <v>20</v>
      </c>
      <c r="F102" s="2" t="inlineStr">
        <is>
          <t>National pick 10</t>
        </is>
      </c>
      <c r="G102" s="3" t="n">
        <v>1628</v>
      </c>
      <c r="H102" s="3" t="n">
        <v>1163</v>
      </c>
      <c r="I102" s="3">
        <f>H102-G102</f>
        <v/>
      </c>
      <c r="J102" s="4">
        <f>IF(G102=0,"",(H102-G102)/G102)</f>
        <v/>
      </c>
      <c r="K102" s="4">
        <f>IF(G102=0,"",(H102-G102*0.891738)/(G102*0.891738))</f>
        <v/>
      </c>
      <c r="L102" s="3" t="n">
        <v>-325</v>
      </c>
      <c r="M102" s="3" t="n">
        <v>0</v>
      </c>
      <c r="N102" s="3" t="n">
        <v>-140</v>
      </c>
      <c r="O102" s="3" t="n">
        <v>0</v>
      </c>
      <c r="P102" s="3" t="n">
        <v>0</v>
      </c>
      <c r="Q102" s="3">
        <f>SUM(L102:P102)-I102</f>
        <v/>
      </c>
    </row>
    <row r="103">
      <c r="A103" s="2" t="inlineStr">
        <is>
          <t>jaspa-fletcher</t>
        </is>
      </c>
      <c r="B103" s="2" t="inlineStr">
        <is>
          <t>Jaspa Fletcher</t>
        </is>
      </c>
      <c r="C103" s="2" t="inlineStr">
        <is>
          <t>Brisbane</t>
        </is>
      </c>
      <c r="D103" s="2" t="inlineStr">
        <is>
          <t>SD</t>
        </is>
      </c>
      <c r="E103" s="2" t="n">
        <v>22</v>
      </c>
      <c r="F103" s="2" t="inlineStr">
        <is>
          <t>National pick 12</t>
        </is>
      </c>
      <c r="G103" s="3" t="n">
        <v>2652</v>
      </c>
      <c r="H103" s="3" t="n">
        <v>2334</v>
      </c>
      <c r="I103" s="3">
        <f>H103-G103</f>
        <v/>
      </c>
      <c r="J103" s="4">
        <f>IF(G103=0,"",(H103-G103)/G103)</f>
        <v/>
      </c>
      <c r="K103" s="4">
        <f>IF(G103=0,"",(H103-G103*0.891738)/(G103*0.891738))</f>
        <v/>
      </c>
      <c r="L103" s="3" t="n">
        <v>-34</v>
      </c>
      <c r="M103" s="3" t="n">
        <v>0</v>
      </c>
      <c r="N103" s="3" t="n">
        <v>-284</v>
      </c>
      <c r="O103" s="3" t="n">
        <v>0</v>
      </c>
      <c r="P103" s="3" t="n">
        <v>0</v>
      </c>
      <c r="Q103" s="3">
        <f>SUM(L103:P103)-I103</f>
        <v/>
      </c>
    </row>
    <row r="104">
      <c r="A104" s="2" t="inlineStr">
        <is>
          <t>lachie-neale</t>
        </is>
      </c>
      <c r="B104" s="2" t="inlineStr">
        <is>
          <t>Lachie Neale</t>
        </is>
      </c>
      <c r="C104" s="2" t="inlineStr">
        <is>
          <t>Brisbane</t>
        </is>
      </c>
      <c r="D104" s="2" t="inlineStr">
        <is>
          <t>MID</t>
        </is>
      </c>
      <c r="E104" s="2" t="n">
        <v>33</v>
      </c>
      <c r="F104" s="2" t="inlineStr">
        <is>
          <t>National pick 66</t>
        </is>
      </c>
      <c r="G104" s="3" t="n">
        <v>2171</v>
      </c>
      <c r="H104" s="3" t="n">
        <v>1910</v>
      </c>
      <c r="I104" s="3">
        <f>H104-G104</f>
        <v/>
      </c>
      <c r="J104" s="4">
        <f>IF(G104=0,"",(H104-G104)/G104)</f>
        <v/>
      </c>
      <c r="K104" s="4">
        <f>IF(G104=0,"",(H104-G104*0.891738)/(G104*0.891738))</f>
        <v/>
      </c>
      <c r="L104" s="3" t="n">
        <v>-30</v>
      </c>
      <c r="M104" s="3" t="n">
        <v>0</v>
      </c>
      <c r="N104" s="3" t="n">
        <v>-231</v>
      </c>
      <c r="O104" s="3" t="n">
        <v>0</v>
      </c>
      <c r="P104" s="3" t="n">
        <v>0</v>
      </c>
      <c r="Q104" s="3">
        <f>SUM(L104:P104)-I104</f>
        <v/>
      </c>
    </row>
    <row r="105">
      <c r="A105" s="2" t="inlineStr">
        <is>
          <t>jye-amiss</t>
        </is>
      </c>
      <c r="B105" s="2" t="inlineStr">
        <is>
          <t>Jye Amiss</t>
        </is>
      </c>
      <c r="C105" s="2" t="inlineStr">
        <is>
          <t>Fremantle</t>
        </is>
      </c>
      <c r="D105" s="2" t="inlineStr">
        <is>
          <t>KPF</t>
        </is>
      </c>
      <c r="E105" s="2" t="n">
        <v>23</v>
      </c>
      <c r="F105" s="2" t="inlineStr">
        <is>
          <t>National pick 8</t>
        </is>
      </c>
      <c r="G105" s="3" t="n">
        <v>1456</v>
      </c>
      <c r="H105" s="3" t="n">
        <v>1277</v>
      </c>
      <c r="I105" s="3">
        <f>H105-G105</f>
        <v/>
      </c>
      <c r="J105" s="4">
        <f>IF(G105=0,"",(H105-G105)/G105)</f>
        <v/>
      </c>
      <c r="K105" s="4">
        <f>IF(G105=0,"",(H105-G105*0.891738)/(G105*0.891738))</f>
        <v/>
      </c>
      <c r="L105" s="3" t="n">
        <v>-24</v>
      </c>
      <c r="M105" s="3" t="n">
        <v>0</v>
      </c>
      <c r="N105" s="3" t="n">
        <v>-155</v>
      </c>
      <c r="O105" s="3" t="n">
        <v>0</v>
      </c>
      <c r="P105" s="3" t="n">
        <v>0</v>
      </c>
      <c r="Q105" s="3">
        <f>SUM(L105:P105)-I105</f>
        <v/>
      </c>
    </row>
    <row r="106">
      <c r="A106" s="2" t="inlineStr">
        <is>
          <t>harvey-langford</t>
        </is>
      </c>
      <c r="B106" s="2" t="inlineStr">
        <is>
          <t>Harvey Langford</t>
        </is>
      </c>
      <c r="C106" s="2" t="inlineStr">
        <is>
          <t>Melbourne</t>
        </is>
      </c>
      <c r="D106" s="2" t="inlineStr">
        <is>
          <t>MID</t>
        </is>
      </c>
      <c r="E106" s="2" t="n">
        <v>20</v>
      </c>
      <c r="F106" s="2" t="inlineStr">
        <is>
          <t>National pick 6</t>
        </is>
      </c>
      <c r="G106" s="3" t="n">
        <v>2409</v>
      </c>
      <c r="H106" s="3" t="n">
        <v>2083</v>
      </c>
      <c r="I106" s="3">
        <f>H106-G106</f>
        <v/>
      </c>
      <c r="J106" s="4">
        <f>IF(G106=0,"",(H106-G106)/G106)</f>
        <v/>
      </c>
      <c r="K106" s="4">
        <f>IF(G106=0,"",(H106-G106*0.891738)/(G106*0.891738))</f>
        <v/>
      </c>
      <c r="L106" s="3" t="n">
        <v>-73</v>
      </c>
      <c r="M106" s="3" t="n">
        <v>0</v>
      </c>
      <c r="N106" s="3" t="n">
        <v>-253</v>
      </c>
      <c r="O106" s="3" t="n">
        <v>0</v>
      </c>
      <c r="P106" s="3" t="n">
        <v>0</v>
      </c>
      <c r="Q106" s="3">
        <f>SUM(L106:P106)-I106</f>
        <v/>
      </c>
    </row>
    <row r="107">
      <c r="A107" s="2" t="inlineStr">
        <is>
          <t>touk-miller</t>
        </is>
      </c>
      <c r="B107" s="2" t="inlineStr">
        <is>
          <t>Touk Miller</t>
        </is>
      </c>
      <c r="C107" s="2" t="inlineStr">
        <is>
          <t>Gold Coast</t>
        </is>
      </c>
      <c r="D107" s="2" t="inlineStr">
        <is>
          <t>SF</t>
        </is>
      </c>
      <c r="E107" s="2" t="n">
        <v>30</v>
      </c>
      <c r="F107" s="2" t="inlineStr">
        <is>
          <t>National pick 29</t>
        </is>
      </c>
      <c r="G107" s="3" t="n">
        <v>2089</v>
      </c>
      <c r="H107" s="3" t="n">
        <v>1837</v>
      </c>
      <c r="I107" s="3">
        <f>H107-G107</f>
        <v/>
      </c>
      <c r="J107" s="4">
        <f>IF(G107=0,"",(H107-G107)/G107)</f>
        <v/>
      </c>
      <c r="K107" s="4">
        <f>IF(G107=0,"",(H107-G107*0.891738)/(G107*0.891738))</f>
        <v/>
      </c>
      <c r="L107" s="3" t="n">
        <v>-29</v>
      </c>
      <c r="M107" s="3" t="n">
        <v>0</v>
      </c>
      <c r="N107" s="3" t="n">
        <v>-223</v>
      </c>
      <c r="O107" s="3" t="n">
        <v>0</v>
      </c>
      <c r="P107" s="3" t="n">
        <v>0</v>
      </c>
      <c r="Q107" s="3">
        <f>SUM(L107:P107)-I107</f>
        <v/>
      </c>
    </row>
    <row r="108">
      <c r="A108" s="2" t="inlineStr">
        <is>
          <t>xavier-taylor</t>
        </is>
      </c>
      <c r="B108" s="2" t="inlineStr">
        <is>
          <t>Xavier Taylor</t>
        </is>
      </c>
      <c r="C108" s="2" t="inlineStr">
        <is>
          <t>Melbourne</t>
        </is>
      </c>
      <c r="D108" s="2" t="inlineStr">
        <is>
          <t>SD</t>
        </is>
      </c>
      <c r="E108" s="2" t="n">
        <v>19</v>
      </c>
      <c r="F108" s="2" t="inlineStr">
        <is>
          <t>National pick 11</t>
        </is>
      </c>
      <c r="G108" s="3" t="n">
        <v>950</v>
      </c>
      <c r="H108" s="3" t="n">
        <v>740</v>
      </c>
      <c r="I108" s="3">
        <f>H108-G108</f>
        <v/>
      </c>
      <c r="J108" s="4">
        <f>IF(G108=0,"",(H108-G108)/G108)</f>
        <v/>
      </c>
      <c r="K108" s="4">
        <f>IF(G108=0,"",(H108-G108*0.891738)/(G108*0.891738))</f>
        <v/>
      </c>
      <c r="L108" s="3" t="n">
        <v>-152</v>
      </c>
      <c r="M108" s="3" t="n">
        <v>0</v>
      </c>
      <c r="N108" s="3" t="n">
        <v>-58</v>
      </c>
      <c r="O108" s="3" t="n">
        <v>0</v>
      </c>
      <c r="P108" s="3" t="n">
        <v>0</v>
      </c>
      <c r="Q108" s="3">
        <f>SUM(L108:P108)-I108</f>
        <v/>
      </c>
    </row>
    <row r="109">
      <c r="A109" s="2" t="inlineStr">
        <is>
          <t>jack-ginnivan</t>
        </is>
      </c>
      <c r="B109" s="2" t="inlineStr">
        <is>
          <t>Jack Ginnivan</t>
        </is>
      </c>
      <c r="C109" s="2" t="inlineStr">
        <is>
          <t>Collingwood</t>
        </is>
      </c>
      <c r="D109" s="2" t="inlineStr">
        <is>
          <t>SF</t>
        </is>
      </c>
      <c r="E109" s="2" t="n">
        <v>24</v>
      </c>
      <c r="F109" s="2" t="inlineStr">
        <is>
          <t>Rookie pick 8</t>
        </is>
      </c>
      <c r="G109" s="3" t="n">
        <v>2330</v>
      </c>
      <c r="H109" s="3" t="n">
        <v>2047</v>
      </c>
      <c r="I109" s="3">
        <f>H109-G109</f>
        <v/>
      </c>
      <c r="J109" s="4">
        <f>IF(G109=0,"",(H109-G109)/G109)</f>
        <v/>
      </c>
      <c r="K109" s="4">
        <f>IF(G109=0,"",(H109-G109*0.891738)/(G109*0.891738))</f>
        <v/>
      </c>
      <c r="L109" s="3" t="n">
        <v>-34</v>
      </c>
      <c r="M109" s="3" t="n">
        <v>0</v>
      </c>
      <c r="N109" s="3" t="n">
        <v>-249</v>
      </c>
      <c r="O109" s="3" t="n">
        <v>0</v>
      </c>
      <c r="P109" s="3" t="n">
        <v>0</v>
      </c>
      <c r="Q109" s="3">
        <f>SUM(L109:P109)-I109</f>
        <v/>
      </c>
    </row>
    <row r="110">
      <c r="A110" s="2" t="inlineStr">
        <is>
          <t>jacob-van-rooyen</t>
        </is>
      </c>
      <c r="B110" s="2" t="inlineStr">
        <is>
          <t>Jacob Van Rooyen</t>
        </is>
      </c>
      <c r="C110" s="2" t="inlineStr">
        <is>
          <t>Melbourne</t>
        </is>
      </c>
      <c r="D110" s="2" t="inlineStr">
        <is>
          <t>KPF</t>
        </is>
      </c>
      <c r="E110" s="2" t="n">
        <v>23</v>
      </c>
      <c r="F110" s="2" t="inlineStr">
        <is>
          <t>National pick 19</t>
        </is>
      </c>
      <c r="G110" s="3" t="n">
        <v>1977</v>
      </c>
      <c r="H110" s="3" t="n">
        <v>1728</v>
      </c>
      <c r="I110" s="3">
        <f>H110-G110</f>
        <v/>
      </c>
      <c r="J110" s="4">
        <f>IF(G110=0,"",(H110-G110)/G110)</f>
        <v/>
      </c>
      <c r="K110" s="4">
        <f>IF(G110=0,"",(H110-G110*0.891738)/(G110*0.891738))</f>
        <v/>
      </c>
      <c r="L110" s="3" t="n">
        <v>-33</v>
      </c>
      <c r="M110" s="3" t="n">
        <v>-7</v>
      </c>
      <c r="N110" s="3" t="n">
        <v>-209</v>
      </c>
      <c r="O110" s="3" t="n">
        <v>0</v>
      </c>
      <c r="P110" s="3" t="n">
        <v>0</v>
      </c>
      <c r="Q110" s="3">
        <f>SUM(L110:P110)-I110</f>
        <v/>
      </c>
    </row>
    <row r="111">
      <c r="A111" s="2" t="inlineStr">
        <is>
          <t>justin-mcinerney</t>
        </is>
      </c>
      <c r="B111" s="2" t="inlineStr">
        <is>
          <t>Justin McInerney</t>
        </is>
      </c>
      <c r="C111" s="2" t="inlineStr">
        <is>
          <t>Sydney</t>
        </is>
      </c>
      <c r="D111" s="2" t="inlineStr">
        <is>
          <t>MID</t>
        </is>
      </c>
      <c r="E111" s="2" t="n">
        <v>26</v>
      </c>
      <c r="F111" s="2" t="inlineStr">
        <is>
          <t>National pick 44</t>
        </is>
      </c>
      <c r="G111" s="3" t="n">
        <v>2170</v>
      </c>
      <c r="H111" s="3" t="n">
        <v>1908</v>
      </c>
      <c r="I111" s="3">
        <f>H111-G111</f>
        <v/>
      </c>
      <c r="J111" s="4">
        <f>IF(G111=0,"",(H111-G111)/G111)</f>
        <v/>
      </c>
      <c r="K111" s="4">
        <f>IF(G111=0,"",(H111-G111*0.891738)/(G111*0.891738))</f>
        <v/>
      </c>
      <c r="L111" s="3" t="n">
        <v>-30</v>
      </c>
      <c r="M111" s="3" t="n">
        <v>0</v>
      </c>
      <c r="N111" s="3" t="n">
        <v>-232</v>
      </c>
      <c r="O111" s="3" t="n">
        <v>0</v>
      </c>
      <c r="P111" s="3" t="n">
        <v>0</v>
      </c>
      <c r="Q111" s="3">
        <f>SUM(L111:P111)-I111</f>
        <v/>
      </c>
    </row>
    <row r="112">
      <c r="A112" s="2" t="inlineStr">
        <is>
          <t>john-noble</t>
        </is>
      </c>
      <c r="B112" s="2" t="inlineStr">
        <is>
          <t>John Noble</t>
        </is>
      </c>
      <c r="C112" s="2" t="inlineStr">
        <is>
          <t>Gold Coast</t>
        </is>
      </c>
      <c r="D112" s="2" t="inlineStr">
        <is>
          <t>SD</t>
        </is>
      </c>
      <c r="E112" s="2" t="n">
        <v>29</v>
      </c>
      <c r="F112" s="2" t="inlineStr">
        <is>
          <t>Mid-Season pick 8</t>
        </is>
      </c>
      <c r="G112" s="3" t="n">
        <v>2313</v>
      </c>
      <c r="H112" s="3" t="n">
        <v>2034</v>
      </c>
      <c r="I112" s="3">
        <f>H112-G112</f>
        <v/>
      </c>
      <c r="J112" s="4">
        <f>IF(G112=0,"",(H112-G112)/G112)</f>
        <v/>
      </c>
      <c r="K112" s="4">
        <f>IF(G112=0,"",(H112-G112*0.891738)/(G112*0.891738))</f>
        <v/>
      </c>
      <c r="L112" s="3" t="n">
        <v>-32</v>
      </c>
      <c r="M112" s="3" t="n">
        <v>0</v>
      </c>
      <c r="N112" s="3" t="n">
        <v>-247</v>
      </c>
      <c r="O112" s="3" t="n">
        <v>0</v>
      </c>
      <c r="P112" s="3" t="n">
        <v>0</v>
      </c>
      <c r="Q112" s="3">
        <f>SUM(L112:P112)-I112</f>
        <v/>
      </c>
    </row>
    <row r="113">
      <c r="A113" s="2" t="inlineStr">
        <is>
          <t>george-hewett</t>
        </is>
      </c>
      <c r="B113" s="2" t="inlineStr">
        <is>
          <t>George Hewett</t>
        </is>
      </c>
      <c r="C113" s="2" t="inlineStr">
        <is>
          <t>Carlton</t>
        </is>
      </c>
      <c r="D113" s="2" t="inlineStr">
        <is>
          <t>MID</t>
        </is>
      </c>
      <c r="E113" s="2" t="n">
        <v>31</v>
      </c>
      <c r="F113" s="2" t="inlineStr">
        <is>
          <t>National pick 32</t>
        </is>
      </c>
      <c r="G113" s="3" t="n">
        <v>2002</v>
      </c>
      <c r="H113" s="3" t="n">
        <v>1761</v>
      </c>
      <c r="I113" s="3">
        <f>H113-G113</f>
        <v/>
      </c>
      <c r="J113" s="4">
        <f>IF(G113=0,"",(H113-G113)/G113)</f>
        <v/>
      </c>
      <c r="K113" s="4">
        <f>IF(G113=0,"",(H113-G113*0.891738)/(G113*0.891738))</f>
        <v/>
      </c>
      <c r="L113" s="3" t="n">
        <v>-27</v>
      </c>
      <c r="M113" s="3" t="n">
        <v>0</v>
      </c>
      <c r="N113" s="3" t="n">
        <v>-214</v>
      </c>
      <c r="O113" s="3" t="n">
        <v>0</v>
      </c>
      <c r="P113" s="3" t="n">
        <v>0</v>
      </c>
      <c r="Q113" s="3">
        <f>SUM(L113:P113)-I113</f>
        <v/>
      </c>
    </row>
    <row r="114">
      <c r="A114" s="2" t="inlineStr">
        <is>
          <t>nate-caddy</t>
        </is>
      </c>
      <c r="B114" s="2" t="inlineStr">
        <is>
          <t>Nate Caddy</t>
        </is>
      </c>
      <c r="C114" s="2" t="inlineStr">
        <is>
          <t>Essendon</t>
        </is>
      </c>
      <c r="D114" s="2" t="inlineStr">
        <is>
          <t>KPF</t>
        </is>
      </c>
      <c r="E114" s="2" t="n">
        <v>21</v>
      </c>
      <c r="F114" s="2" t="inlineStr">
        <is>
          <t>National pick 10</t>
        </is>
      </c>
      <c r="G114" s="3" t="n">
        <v>1800</v>
      </c>
      <c r="H114" s="3" t="n">
        <v>1485</v>
      </c>
      <c r="I114" s="3">
        <f>H114-G114</f>
        <v/>
      </c>
      <c r="J114" s="4">
        <f>IF(G114=0,"",(H114-G114)/G114)</f>
        <v/>
      </c>
      <c r="K114" s="4">
        <f>IF(G114=0,"",(H114-G114*0.891738)/(G114*0.891738))</f>
        <v/>
      </c>
      <c r="L114" s="3" t="n">
        <v>-134</v>
      </c>
      <c r="M114" s="3" t="n">
        <v>0</v>
      </c>
      <c r="N114" s="3" t="n">
        <v>-181</v>
      </c>
      <c r="O114" s="3" t="n">
        <v>0</v>
      </c>
      <c r="P114" s="3" t="n">
        <v>0</v>
      </c>
      <c r="Q114" s="3">
        <f>SUM(L114:P114)-I114</f>
        <v/>
      </c>
    </row>
    <row r="115">
      <c r="A115" s="2" t="inlineStr">
        <is>
          <t>wayne-milera</t>
        </is>
      </c>
      <c r="B115" s="2" t="inlineStr">
        <is>
          <t>Wayne Milera</t>
        </is>
      </c>
      <c r="C115" s="2" t="inlineStr">
        <is>
          <t>Adelaide</t>
        </is>
      </c>
      <c r="D115" s="2" t="inlineStr">
        <is>
          <t>SD</t>
        </is>
      </c>
      <c r="E115" s="2" t="n">
        <v>29</v>
      </c>
      <c r="F115" s="2" t="inlineStr">
        <is>
          <t>National pick 11</t>
        </is>
      </c>
      <c r="G115" s="3" t="n">
        <v>1825</v>
      </c>
      <c r="H115" s="3" t="n">
        <v>1605</v>
      </c>
      <c r="I115" s="3">
        <f>H115-G115</f>
        <v/>
      </c>
      <c r="J115" s="4">
        <f>IF(G115=0,"",(H115-G115)/G115)</f>
        <v/>
      </c>
      <c r="K115" s="4">
        <f>IF(G115=0,"",(H115-G115*0.891738)/(G115*0.891738))</f>
        <v/>
      </c>
      <c r="L115" s="3" t="n">
        <v>-24</v>
      </c>
      <c r="M115" s="3" t="n">
        <v>0</v>
      </c>
      <c r="N115" s="3" t="n">
        <v>-196</v>
      </c>
      <c r="O115" s="3" t="n">
        <v>0</v>
      </c>
      <c r="P115" s="3" t="n">
        <v>0</v>
      </c>
      <c r="Q115" s="3">
        <f>SUM(L115:P115)-I115</f>
        <v/>
      </c>
    </row>
    <row r="116">
      <c r="A116" s="2" t="inlineStr">
        <is>
          <t>tobie-travaglia</t>
        </is>
      </c>
      <c r="B116" s="2" t="inlineStr">
        <is>
          <t>Tobie Travaglia</t>
        </is>
      </c>
      <c r="C116" s="2" t="inlineStr">
        <is>
          <t>St Kilda</t>
        </is>
      </c>
      <c r="D116" s="2" t="inlineStr">
        <is>
          <t>SD</t>
        </is>
      </c>
      <c r="E116" s="2" t="n">
        <v>20</v>
      </c>
      <c r="F116" s="2" t="inlineStr">
        <is>
          <t>National pick 8</t>
        </is>
      </c>
      <c r="G116" s="3" t="n">
        <v>736</v>
      </c>
      <c r="H116" s="3" t="n">
        <v>482</v>
      </c>
      <c r="I116" s="3">
        <f>H116-G116</f>
        <v/>
      </c>
      <c r="J116" s="4">
        <f>IF(G116=0,"",(H116-G116)/G116)</f>
        <v/>
      </c>
      <c r="K116" s="4">
        <f>IF(G116=0,"",(H116-G116*0.891738)/(G116*0.891738))</f>
        <v/>
      </c>
      <c r="L116" s="3" t="n">
        <v>-195</v>
      </c>
      <c r="M116" s="3" t="n">
        <v>0</v>
      </c>
      <c r="N116" s="3" t="n">
        <v>-59</v>
      </c>
      <c r="O116" s="3" t="n">
        <v>0</v>
      </c>
      <c r="P116" s="3" t="n">
        <v>0</v>
      </c>
      <c r="Q116" s="3">
        <f>SUM(L116:P116)-I116</f>
        <v/>
      </c>
    </row>
    <row r="117">
      <c r="A117" s="2" t="inlineStr">
        <is>
          <t>sam-cumming</t>
        </is>
      </c>
      <c r="B117" s="2" t="inlineStr">
        <is>
          <t>Sam Cumming</t>
        </is>
      </c>
      <c r="C117" s="2" t="inlineStr">
        <is>
          <t>Richmond</t>
        </is>
      </c>
      <c r="D117" s="2" t="inlineStr">
        <is>
          <t>MID</t>
        </is>
      </c>
      <c r="E117" s="2" t="n">
        <v>19</v>
      </c>
      <c r="F117" s="2" t="inlineStr">
        <is>
          <t>National pick 7</t>
        </is>
      </c>
      <c r="G117" s="3" t="n">
        <v>2315</v>
      </c>
      <c r="H117" s="3" t="n">
        <v>2078</v>
      </c>
      <c r="I117" s="3">
        <f>H117-G117</f>
        <v/>
      </c>
      <c r="J117" s="4">
        <f>IF(G117=0,"",(H117-G117)/G117)</f>
        <v/>
      </c>
      <c r="K117" s="4">
        <f>IF(G117=0,"",(H117-G117*0.891738)/(G117*0.891738))</f>
        <v/>
      </c>
      <c r="L117" s="3" t="n">
        <v>15</v>
      </c>
      <c r="M117" s="3" t="n">
        <v>0</v>
      </c>
      <c r="N117" s="3" t="n">
        <v>-252</v>
      </c>
      <c r="O117" s="3" t="n">
        <v>0</v>
      </c>
      <c r="P117" s="3" t="n">
        <v>0</v>
      </c>
      <c r="Q117" s="3">
        <f>SUM(L117:P117)-I117</f>
        <v/>
      </c>
    </row>
    <row r="118">
      <c r="A118" s="2" t="inlineStr">
        <is>
          <t>callum-mills</t>
        </is>
      </c>
      <c r="B118" s="2" t="inlineStr">
        <is>
          <t>Callum Mills</t>
        </is>
      </c>
      <c r="C118" s="2" t="inlineStr">
        <is>
          <t>Sydney</t>
        </is>
      </c>
      <c r="D118" s="2" t="inlineStr">
        <is>
          <t>SD</t>
        </is>
      </c>
      <c r="E118" s="2" t="n">
        <v>29</v>
      </c>
      <c r="F118" s="2" t="inlineStr">
        <is>
          <t>National pick 3</t>
        </is>
      </c>
      <c r="G118" s="3" t="n">
        <v>2032</v>
      </c>
      <c r="H118" s="3" t="n">
        <v>1786</v>
      </c>
      <c r="I118" s="3">
        <f>H118-G118</f>
        <v/>
      </c>
      <c r="J118" s="4">
        <f>IF(G118=0,"",(H118-G118)/G118)</f>
        <v/>
      </c>
      <c r="K118" s="4">
        <f>IF(G118=0,"",(H118-G118*0.891738)/(G118*0.891738))</f>
        <v/>
      </c>
      <c r="L118" s="3" t="n">
        <v>-29</v>
      </c>
      <c r="M118" s="3" t="n">
        <v>0</v>
      </c>
      <c r="N118" s="3" t="n">
        <v>-217</v>
      </c>
      <c r="O118" s="3" t="n">
        <v>0</v>
      </c>
      <c r="P118" s="3" t="n">
        <v>0</v>
      </c>
      <c r="Q118" s="3">
        <f>SUM(L118:P118)-I118</f>
        <v/>
      </c>
    </row>
    <row r="119">
      <c r="A119" s="2" t="inlineStr">
        <is>
          <t>sullivan-robey</t>
        </is>
      </c>
      <c r="B119" s="2" t="inlineStr">
        <is>
          <t>Sullivan Robey</t>
        </is>
      </c>
      <c r="C119" s="2" t="inlineStr">
        <is>
          <t>Essendon</t>
        </is>
      </c>
      <c r="D119" s="2" t="inlineStr">
        <is>
          <t>MID</t>
        </is>
      </c>
      <c r="E119" s="2" t="n">
        <v>19</v>
      </c>
      <c r="F119" s="2" t="inlineStr">
        <is>
          <t>National pick 9</t>
        </is>
      </c>
      <c r="G119" s="3" t="n">
        <v>3070</v>
      </c>
      <c r="H119" s="3" t="n">
        <v>2364</v>
      </c>
      <c r="I119" s="3">
        <f>H119-G119</f>
        <v/>
      </c>
      <c r="J119" s="4">
        <f>IF(G119=0,"",(H119-G119)/G119)</f>
        <v/>
      </c>
      <c r="K119" s="4">
        <f>IF(G119=0,"",(H119-G119*0.891738)/(G119*0.891738))</f>
        <v/>
      </c>
      <c r="L119" s="3" t="n">
        <v>-419</v>
      </c>
      <c r="M119" s="3" t="n">
        <v>0</v>
      </c>
      <c r="N119" s="3" t="n">
        <v>-287</v>
      </c>
      <c r="O119" s="3" t="n">
        <v>0</v>
      </c>
      <c r="P119" s="3" t="n">
        <v>0</v>
      </c>
      <c r="Q119" s="3">
        <f>SUM(L119:P119)-I119</f>
        <v/>
      </c>
    </row>
    <row r="120">
      <c r="A120" s="2" t="inlineStr">
        <is>
          <t>leo-lombard</t>
        </is>
      </c>
      <c r="B120" s="2" t="inlineStr">
        <is>
          <t>Leo Lombard</t>
        </is>
      </c>
      <c r="C120" s="2" t="inlineStr">
        <is>
          <t>Gold Coast</t>
        </is>
      </c>
      <c r="D120" s="2" t="inlineStr">
        <is>
          <t>SF</t>
        </is>
      </c>
      <c r="E120" s="2" t="n">
        <v>20</v>
      </c>
      <c r="F120" s="2" t="inlineStr">
        <is>
          <t>National pick 9</t>
        </is>
      </c>
      <c r="G120" s="3" t="n">
        <v>1677</v>
      </c>
      <c r="H120" s="3" t="n">
        <v>1486</v>
      </c>
      <c r="I120" s="3">
        <f>H120-G120</f>
        <v/>
      </c>
      <c r="J120" s="4">
        <f>IF(G120=0,"",(H120-G120)/G120)</f>
        <v/>
      </c>
      <c r="K120" s="4">
        <f>IF(G120=0,"",(H120-G120*0.891738)/(G120*0.891738))</f>
        <v/>
      </c>
      <c r="L120" s="3" t="n">
        <v>-10</v>
      </c>
      <c r="M120" s="3" t="n">
        <v>0</v>
      </c>
      <c r="N120" s="3" t="n">
        <v>-181</v>
      </c>
      <c r="O120" s="3" t="n">
        <v>0</v>
      </c>
      <c r="P120" s="3" t="n">
        <v>0</v>
      </c>
      <c r="Q120" s="3">
        <f>SUM(L120:P120)-I120</f>
        <v/>
      </c>
    </row>
    <row r="121">
      <c r="A121" s="2" t="inlineStr">
        <is>
          <t>ollie-dempsey</t>
        </is>
      </c>
      <c r="B121" s="2" t="inlineStr">
        <is>
          <t>Ollie Dempsey</t>
        </is>
      </c>
      <c r="C121" s="2" t="inlineStr">
        <is>
          <t>Geelong</t>
        </is>
      </c>
      <c r="D121" s="2" t="inlineStr">
        <is>
          <t>MID</t>
        </is>
      </c>
      <c r="E121" s="2" t="n">
        <v>23</v>
      </c>
      <c r="F121" s="2" t="inlineStr">
        <is>
          <t>Rookie pick 7</t>
        </is>
      </c>
      <c r="G121" s="3" t="n">
        <v>2432</v>
      </c>
      <c r="H121" s="3" t="n">
        <v>2109</v>
      </c>
      <c r="I121" s="3">
        <f>H121-G121</f>
        <v/>
      </c>
      <c r="J121" s="4">
        <f>IF(G121=0,"",(H121-G121)/G121)</f>
        <v/>
      </c>
      <c r="K121" s="4">
        <f>IF(G121=0,"",(H121-G121*0.891738)/(G121*0.891738))</f>
        <v/>
      </c>
      <c r="L121" s="3" t="n">
        <v>-68</v>
      </c>
      <c r="M121" s="3" t="n">
        <v>0</v>
      </c>
      <c r="N121" s="3" t="n">
        <v>-255</v>
      </c>
      <c r="O121" s="3" t="n">
        <v>0</v>
      </c>
      <c r="P121" s="3" t="n">
        <v>0</v>
      </c>
      <c r="Q121" s="3">
        <f>SUM(L121:P121)-I121</f>
        <v/>
      </c>
    </row>
    <row r="122">
      <c r="A122" s="2" t="inlineStr">
        <is>
          <t>samuel-grlj</t>
        </is>
      </c>
      <c r="B122" s="2" t="inlineStr">
        <is>
          <t>Samuel Grlj</t>
        </is>
      </c>
      <c r="C122" s="2" t="inlineStr">
        <is>
          <t>Richmond</t>
        </is>
      </c>
      <c r="D122" s="2" t="inlineStr">
        <is>
          <t>MID</t>
        </is>
      </c>
      <c r="E122" s="2" t="n">
        <v>19</v>
      </c>
      <c r="F122" s="2" t="inlineStr">
        <is>
          <t>National pick 8</t>
        </is>
      </c>
      <c r="G122" s="3" t="n">
        <v>1869</v>
      </c>
      <c r="H122" s="3" t="n">
        <v>1370</v>
      </c>
      <c r="I122" s="3">
        <f>H122-G122</f>
        <v/>
      </c>
      <c r="J122" s="4">
        <f>IF(G122=0,"",(H122-G122)/G122)</f>
        <v/>
      </c>
      <c r="K122" s="4">
        <f>IF(G122=0,"",(H122-G122*0.891738)/(G122*0.891738))</f>
        <v/>
      </c>
      <c r="L122" s="3" t="n">
        <v>-333</v>
      </c>
      <c r="M122" s="3" t="n">
        <v>0</v>
      </c>
      <c r="N122" s="3" t="n">
        <v>-166</v>
      </c>
      <c r="O122" s="3" t="n">
        <v>0</v>
      </c>
      <c r="P122" s="3" t="n">
        <v>0</v>
      </c>
      <c r="Q122" s="3">
        <f>SUM(L122:P122)-I122</f>
        <v/>
      </c>
    </row>
    <row r="123">
      <c r="A123" s="2" t="inlineStr">
        <is>
          <t>jase-burgoyne</t>
        </is>
      </c>
      <c r="B123" s="2" t="inlineStr">
        <is>
          <t>Jase Burgoyne</t>
        </is>
      </c>
      <c r="C123" s="2" t="inlineStr">
        <is>
          <t>Port Adelaide</t>
        </is>
      </c>
      <c r="D123" s="2" t="inlineStr">
        <is>
          <t>SD</t>
        </is>
      </c>
      <c r="E123" s="2" t="n">
        <v>23</v>
      </c>
      <c r="F123" s="2" t="inlineStr">
        <is>
          <t>National pick 60</t>
        </is>
      </c>
      <c r="G123" s="3" t="n">
        <v>2403</v>
      </c>
      <c r="H123" s="3" t="n">
        <v>2119</v>
      </c>
      <c r="I123" s="3">
        <f>H123-G123</f>
        <v/>
      </c>
      <c r="J123" s="4">
        <f>IF(G123=0,"",(H123-G123)/G123)</f>
        <v/>
      </c>
      <c r="K123" s="4">
        <f>IF(G123=0,"",(H123-G123*0.891738)/(G123*0.891738))</f>
        <v/>
      </c>
      <c r="L123" s="3" t="n">
        <v>-27</v>
      </c>
      <c r="M123" s="3" t="n">
        <v>0</v>
      </c>
      <c r="N123" s="3" t="n">
        <v>-257</v>
      </c>
      <c r="O123" s="3" t="n">
        <v>0</v>
      </c>
      <c r="P123" s="3" t="n">
        <v>0</v>
      </c>
      <c r="Q123" s="3">
        <f>SUM(L123:P123)-I123</f>
        <v/>
      </c>
    </row>
    <row r="124">
      <c r="A124" s="2" t="inlineStr">
        <is>
          <t>josh-lindsay</t>
        </is>
      </c>
      <c r="B124" s="2" t="inlineStr">
        <is>
          <t>Josh Lindsay</t>
        </is>
      </c>
      <c r="C124" s="2" t="inlineStr">
        <is>
          <t>West Coast</t>
        </is>
      </c>
      <c r="D124" s="2" t="inlineStr">
        <is>
          <t>SD</t>
        </is>
      </c>
      <c r="E124" s="2" t="n">
        <v>19</v>
      </c>
      <c r="F124" s="2" t="inlineStr">
        <is>
          <t>National pick 19</t>
        </is>
      </c>
      <c r="G124" s="3" t="n">
        <v>2452</v>
      </c>
      <c r="H124" s="3" t="n">
        <v>2000</v>
      </c>
      <c r="I124" s="3">
        <f>H124-G124</f>
        <v/>
      </c>
      <c r="J124" s="4">
        <f>IF(G124=0,"",(H124-G124)/G124)</f>
        <v/>
      </c>
      <c r="K124" s="4">
        <f>IF(G124=0,"",(H124-G124*0.891738)/(G124*0.891738))</f>
        <v/>
      </c>
      <c r="L124" s="3" t="n">
        <v>-209</v>
      </c>
      <c r="M124" s="3" t="n">
        <v>0</v>
      </c>
      <c r="N124" s="3" t="n">
        <v>-243</v>
      </c>
      <c r="O124" s="3" t="n">
        <v>0</v>
      </c>
      <c r="P124" s="3" t="n">
        <v>0</v>
      </c>
      <c r="Q124" s="3">
        <f>SUM(L124:P124)-I124</f>
        <v/>
      </c>
    </row>
    <row r="125">
      <c r="A125" s="2" t="inlineStr">
        <is>
          <t>harris-andrews</t>
        </is>
      </c>
      <c r="B125" s="2" t="inlineStr">
        <is>
          <t>Harris Andrews</t>
        </is>
      </c>
      <c r="C125" s="2" t="inlineStr">
        <is>
          <t>Brisbane</t>
        </is>
      </c>
      <c r="D125" s="2" t="inlineStr">
        <is>
          <t>KPD</t>
        </is>
      </c>
      <c r="E125" s="2" t="n">
        <v>30</v>
      </c>
      <c r="F125" s="2" t="inlineStr">
        <is>
          <t>National pick 60</t>
        </is>
      </c>
      <c r="G125" s="3" t="n">
        <v>1643</v>
      </c>
      <c r="H125" s="3" t="n">
        <v>1447</v>
      </c>
      <c r="I125" s="3">
        <f>H125-G125</f>
        <v/>
      </c>
      <c r="J125" s="4">
        <f>IF(G125=0,"",(H125-G125)/G125)</f>
        <v/>
      </c>
      <c r="K125" s="4">
        <f>IF(G125=0,"",(H125-G125*0.891738)/(G125*0.891738))</f>
        <v/>
      </c>
      <c r="L125" s="3" t="n">
        <v>-20</v>
      </c>
      <c r="M125" s="3" t="n">
        <v>0</v>
      </c>
      <c r="N125" s="3" t="n">
        <v>-176</v>
      </c>
      <c r="O125" s="3" t="n">
        <v>0</v>
      </c>
      <c r="P125" s="3" t="n">
        <v>0</v>
      </c>
      <c r="Q125" s="3">
        <f>SUM(L125:P125)-I125</f>
        <v/>
      </c>
    </row>
    <row r="126">
      <c r="A126" s="2" t="inlineStr">
        <is>
          <t>josh-smillie</t>
        </is>
      </c>
      <c r="B126" s="2" t="inlineStr">
        <is>
          <t>Josh Smillie</t>
        </is>
      </c>
      <c r="C126" s="2" t="inlineStr">
        <is>
          <t>Richmond</t>
        </is>
      </c>
      <c r="D126" s="2" t="inlineStr">
        <is>
          <t>MID</t>
        </is>
      </c>
      <c r="E126" s="2" t="n">
        <v>20</v>
      </c>
      <c r="F126" s="2" t="inlineStr">
        <is>
          <t>National pick 7</t>
        </is>
      </c>
      <c r="G126" s="3" t="n">
        <v>978</v>
      </c>
      <c r="H126" s="3" t="n">
        <v>948</v>
      </c>
      <c r="I126" s="3">
        <f>H126-G126</f>
        <v/>
      </c>
      <c r="J126" s="4">
        <f>IF(G126=0,"",(H126-G126)/G126)</f>
        <v/>
      </c>
      <c r="K126" s="4">
        <f>IF(G126=0,"",(H126-G126*0.891738)/(G126*0.891738))</f>
        <v/>
      </c>
      <c r="L126" s="3" t="n">
        <v>0</v>
      </c>
      <c r="M126" s="3" t="n">
        <v>0</v>
      </c>
      <c r="N126" s="3" t="n">
        <v>-30</v>
      </c>
      <c r="O126" s="3" t="n">
        <v>0</v>
      </c>
      <c r="P126" s="3" t="n">
        <v>0</v>
      </c>
      <c r="Q126" s="3">
        <f>SUM(L126:P126)-I126</f>
        <v/>
      </c>
    </row>
    <row r="127">
      <c r="A127" s="2" t="inlineStr">
        <is>
          <t>lloyd-meek</t>
        </is>
      </c>
      <c r="B127" s="2" t="inlineStr">
        <is>
          <t>Lloyd Meek</t>
        </is>
      </c>
      <c r="C127" s="2" t="inlineStr">
        <is>
          <t>Hawthorn</t>
        </is>
      </c>
      <c r="D127" s="2" t="inlineStr">
        <is>
          <t>RUCK</t>
        </is>
      </c>
      <c r="E127" s="2" t="n">
        <v>28</v>
      </c>
      <c r="F127" s="2" t="inlineStr">
        <is>
          <t>National pick 68</t>
        </is>
      </c>
      <c r="G127" s="3" t="n">
        <v>1329</v>
      </c>
      <c r="H127" s="3" t="n">
        <v>1166</v>
      </c>
      <c r="I127" s="3">
        <f>H127-G127</f>
        <v/>
      </c>
      <c r="J127" s="4">
        <f>IF(G127=0,"",(H127-G127)/G127)</f>
        <v/>
      </c>
      <c r="K127" s="4">
        <f>IF(G127=0,"",(H127-G127*0.891738)/(G127*0.891738))</f>
        <v/>
      </c>
      <c r="L127" s="3" t="n">
        <v>-21</v>
      </c>
      <c r="M127" s="3" t="n">
        <v>0</v>
      </c>
      <c r="N127" s="3" t="n">
        <v>-142</v>
      </c>
      <c r="O127" s="3" t="n">
        <v>0</v>
      </c>
      <c r="P127" s="3" t="n">
        <v>0</v>
      </c>
      <c r="Q127" s="3">
        <f>SUM(L127:P127)-I127</f>
        <v/>
      </c>
    </row>
    <row r="128">
      <c r="A128" s="2" t="inlineStr">
        <is>
          <t>koltyn-tholstrup</t>
        </is>
      </c>
      <c r="B128" s="2" t="inlineStr">
        <is>
          <t>Koltyn Tholstrup</t>
        </is>
      </c>
      <c r="C128" s="2" t="inlineStr">
        <is>
          <t>Melbourne</t>
        </is>
      </c>
      <c r="D128" s="2" t="inlineStr">
        <is>
          <t>SD</t>
        </is>
      </c>
      <c r="E128" s="2" t="n">
        <v>21</v>
      </c>
      <c r="F128" s="2" t="inlineStr">
        <is>
          <t>National pick 13</t>
        </is>
      </c>
      <c r="G128" s="3" t="n">
        <v>1603</v>
      </c>
      <c r="H128" s="3" t="n">
        <v>1421</v>
      </c>
      <c r="I128" s="3">
        <f>H128-G128</f>
        <v/>
      </c>
      <c r="J128" s="4">
        <f>IF(G128=0,"",(H128-G128)/G128)</f>
        <v/>
      </c>
      <c r="K128" s="4">
        <f>IF(G128=0,"",(H128-G128*0.891738)/(G128*0.891738))</f>
        <v/>
      </c>
      <c r="L128" s="3" t="n">
        <v>-9</v>
      </c>
      <c r="M128" s="3" t="n">
        <v>0</v>
      </c>
      <c r="N128" s="3" t="n">
        <v>-173</v>
      </c>
      <c r="O128" s="3" t="n">
        <v>0</v>
      </c>
      <c r="P128" s="3" t="n">
        <v>0</v>
      </c>
      <c r="Q128" s="3">
        <f>SUM(L128:P128)-I128</f>
        <v/>
      </c>
    </row>
    <row r="129">
      <c r="A129" s="2" t="inlineStr">
        <is>
          <t>james-sicily</t>
        </is>
      </c>
      <c r="B129" s="2" t="inlineStr">
        <is>
          <t>James Sicily</t>
        </is>
      </c>
      <c r="C129" s="2" t="inlineStr">
        <is>
          <t>Hawthorn</t>
        </is>
      </c>
      <c r="D129" s="2" t="inlineStr">
        <is>
          <t>SD</t>
        </is>
      </c>
      <c r="E129" s="2" t="n">
        <v>31</v>
      </c>
      <c r="F129" s="2" t="inlineStr">
        <is>
          <t>National pick 52</t>
        </is>
      </c>
      <c r="G129" s="3" t="n">
        <v>1568</v>
      </c>
      <c r="H129" s="3" t="n">
        <v>1380</v>
      </c>
      <c r="I129" s="3">
        <f>H129-G129</f>
        <v/>
      </c>
      <c r="J129" s="4">
        <f>IF(G129=0,"",(H129-G129)/G129)</f>
        <v/>
      </c>
      <c r="K129" s="4">
        <f>IF(G129=0,"",(H129-G129*0.891738)/(G129*0.891738))</f>
        <v/>
      </c>
      <c r="L129" s="3" t="n">
        <v>-21</v>
      </c>
      <c r="M129" s="3" t="n">
        <v>0</v>
      </c>
      <c r="N129" s="3" t="n">
        <v>-167</v>
      </c>
      <c r="O129" s="3" t="n">
        <v>0</v>
      </c>
      <c r="P129" s="3" t="n">
        <v>0</v>
      </c>
      <c r="Q129" s="3">
        <f>SUM(L129:P129)-I129</f>
        <v/>
      </c>
    </row>
    <row r="130">
      <c r="A130" s="2" t="inlineStr">
        <is>
          <t>joel-freijah</t>
        </is>
      </c>
      <c r="B130" s="2" t="inlineStr">
        <is>
          <t>Joel Freijah</t>
        </is>
      </c>
      <c r="C130" s="2" t="inlineStr">
        <is>
          <t>Western Bulldogs</t>
        </is>
      </c>
      <c r="D130" s="2" t="inlineStr">
        <is>
          <t>MID</t>
        </is>
      </c>
      <c r="E130" s="2" t="n">
        <v>21</v>
      </c>
      <c r="F130" s="2" t="inlineStr">
        <is>
          <t>National pick 45</t>
        </is>
      </c>
      <c r="G130" s="3" t="n">
        <v>2917</v>
      </c>
      <c r="H130" s="3" t="n">
        <v>2565</v>
      </c>
      <c r="I130" s="3">
        <f>H130-G130</f>
        <v/>
      </c>
      <c r="J130" s="4">
        <f>IF(G130=0,"",(H130-G130)/G130)</f>
        <v/>
      </c>
      <c r="K130" s="4">
        <f>IF(G130=0,"",(H130-G130*0.891738)/(G130*0.891738))</f>
        <v/>
      </c>
      <c r="L130" s="3" t="n">
        <v>-41</v>
      </c>
      <c r="M130" s="3" t="n">
        <v>0</v>
      </c>
      <c r="N130" s="3" t="n">
        <v>-311</v>
      </c>
      <c r="O130" s="3" t="n">
        <v>0</v>
      </c>
      <c r="P130" s="3" t="n">
        <v>0</v>
      </c>
      <c r="Q130" s="3">
        <f>SUM(L130:P130)-I130</f>
        <v/>
      </c>
    </row>
    <row r="131">
      <c r="A131" s="2" t="inlineStr">
        <is>
          <t>nick-madden</t>
        </is>
      </c>
      <c r="B131" s="2" t="inlineStr">
        <is>
          <t>Nick Madden</t>
        </is>
      </c>
      <c r="C131" s="2" t="inlineStr">
        <is>
          <t>GWS</t>
        </is>
      </c>
      <c r="D131" s="2" t="inlineStr">
        <is>
          <t>RUCK</t>
        </is>
      </c>
      <c r="E131" s="2" t="n">
        <v>22</v>
      </c>
      <c r="F131" s="2" t="inlineStr">
        <is>
          <t>Post-Draft - Academy (pool)</t>
        </is>
      </c>
      <c r="G131" s="3" t="n">
        <v>2142</v>
      </c>
      <c r="H131" s="3" t="n">
        <v>1632</v>
      </c>
      <c r="I131" s="3">
        <f>H131-G131</f>
        <v/>
      </c>
      <c r="J131" s="4">
        <f>IF(G131=0,"",(H131-G131)/G131)</f>
        <v/>
      </c>
      <c r="K131" s="4">
        <f>IF(G131=0,"",(H131-G131*0.891738)/(G131*0.891738))</f>
        <v/>
      </c>
      <c r="L131" s="3" t="n">
        <v>-313</v>
      </c>
      <c r="M131" s="3" t="n">
        <v>0</v>
      </c>
      <c r="N131" s="3" t="n">
        <v>-197</v>
      </c>
      <c r="O131" s="3" t="n">
        <v>0</v>
      </c>
      <c r="P131" s="3" t="n">
        <v>0</v>
      </c>
      <c r="Q131" s="3">
        <f>SUM(L131:P131)-I131</f>
        <v/>
      </c>
    </row>
    <row r="132">
      <c r="A132" s="2" t="inlineStr">
        <is>
          <t>josh-daicos</t>
        </is>
      </c>
      <c r="B132" s="2" t="inlineStr">
        <is>
          <t>Josh Daicos</t>
        </is>
      </c>
      <c r="C132" s="2" t="inlineStr">
        <is>
          <t>Collingwood</t>
        </is>
      </c>
      <c r="D132" s="2" t="inlineStr">
        <is>
          <t>SD</t>
        </is>
      </c>
      <c r="E132" s="2" t="n">
        <v>28</v>
      </c>
      <c r="F132" s="2" t="inlineStr">
        <is>
          <t>National pick 57</t>
        </is>
      </c>
      <c r="G132" s="3" t="n">
        <v>2134</v>
      </c>
      <c r="H132" s="3" t="n">
        <v>1878</v>
      </c>
      <c r="I132" s="3">
        <f>H132-G132</f>
        <v/>
      </c>
      <c r="J132" s="4">
        <f>IF(G132=0,"",(H132-G132)/G132)</f>
        <v/>
      </c>
      <c r="K132" s="4">
        <f>IF(G132=0,"",(H132-G132*0.891738)/(G132*0.891738))</f>
        <v/>
      </c>
      <c r="L132" s="3" t="n">
        <v>-28</v>
      </c>
      <c r="M132" s="3" t="n">
        <v>0</v>
      </c>
      <c r="N132" s="3" t="n">
        <v>-228</v>
      </c>
      <c r="O132" s="3" t="n">
        <v>0</v>
      </c>
      <c r="P132" s="3" t="n">
        <v>0</v>
      </c>
      <c r="Q132" s="3">
        <f>SUM(L132:P132)-I132</f>
        <v/>
      </c>
    </row>
    <row r="133">
      <c r="A133" s="2" t="inlineStr">
        <is>
          <t>dyson-sharp</t>
        </is>
      </c>
      <c r="B133" s="2" t="inlineStr">
        <is>
          <t>Dyson Sharp</t>
        </is>
      </c>
      <c r="C133" s="2" t="inlineStr">
        <is>
          <t>Essendon</t>
        </is>
      </c>
      <c r="D133" s="2" t="inlineStr">
        <is>
          <t>MID</t>
        </is>
      </c>
      <c r="E133" s="2" t="n">
        <v>19</v>
      </c>
      <c r="F133" s="2" t="inlineStr">
        <is>
          <t>National pick 13</t>
        </is>
      </c>
      <c r="G133" s="3" t="n">
        <v>2794</v>
      </c>
      <c r="H133" s="3" t="n">
        <v>2428</v>
      </c>
      <c r="I133" s="3">
        <f>H133-G133</f>
        <v/>
      </c>
      <c r="J133" s="4">
        <f>IF(G133=0,"",(H133-G133)/G133)</f>
        <v/>
      </c>
      <c r="K133" s="4">
        <f>IF(G133=0,"",(H133-G133*0.891738)/(G133*0.891738))</f>
        <v/>
      </c>
      <c r="L133" s="3" t="n">
        <v>-72</v>
      </c>
      <c r="M133" s="3" t="n">
        <v>0</v>
      </c>
      <c r="N133" s="3" t="n">
        <v>-294</v>
      </c>
      <c r="O133" s="3" t="n">
        <v>0</v>
      </c>
      <c r="P133" s="3" t="n">
        <v>0</v>
      </c>
      <c r="Q133" s="3">
        <f>SUM(L133:P133)-I133</f>
        <v/>
      </c>
    </row>
    <row r="134">
      <c r="A134" s="2" t="inlineStr">
        <is>
          <t>daniel-curtin</t>
        </is>
      </c>
      <c r="B134" s="2" t="inlineStr">
        <is>
          <t>Daniel Curtin</t>
        </is>
      </c>
      <c r="C134" s="2" t="inlineStr">
        <is>
          <t>Adelaide</t>
        </is>
      </c>
      <c r="D134" s="2" t="inlineStr">
        <is>
          <t>MID</t>
        </is>
      </c>
      <c r="E134" s="2" t="n">
        <v>21</v>
      </c>
      <c r="F134" s="2" t="inlineStr">
        <is>
          <t>National pick 8</t>
        </is>
      </c>
      <c r="G134" s="3" t="n">
        <v>2487</v>
      </c>
      <c r="H134" s="3" t="n">
        <v>2129</v>
      </c>
      <c r="I134" s="3">
        <f>H134-G134</f>
        <v/>
      </c>
      <c r="J134" s="4">
        <f>IF(G134=0,"",(H134-G134)/G134)</f>
        <v/>
      </c>
      <c r="K134" s="4">
        <f>IF(G134=0,"",(H134-G134*0.891738)/(G134*0.891738))</f>
        <v/>
      </c>
      <c r="L134" s="3" t="n">
        <v>-99</v>
      </c>
      <c r="M134" s="3" t="n">
        <v>0</v>
      </c>
      <c r="N134" s="3" t="n">
        <v>-259</v>
      </c>
      <c r="O134" s="3" t="n">
        <v>0</v>
      </c>
      <c r="P134" s="3" t="n">
        <v>0</v>
      </c>
      <c r="Q134" s="3">
        <f>SUM(L134:P134)-I134</f>
        <v/>
      </c>
    </row>
    <row r="135">
      <c r="A135" s="2" t="inlineStr">
        <is>
          <t>tanner-bruhn</t>
        </is>
      </c>
      <c r="B135" s="2" t="inlineStr">
        <is>
          <t>Tanner Bruhn</t>
        </is>
      </c>
      <c r="C135" s="2" t="inlineStr">
        <is>
          <t>Geelong</t>
        </is>
      </c>
      <c r="D135" s="2" t="inlineStr">
        <is>
          <t>MID</t>
        </is>
      </c>
      <c r="E135" s="2" t="n">
        <v>24</v>
      </c>
      <c r="F135" s="2" t="inlineStr">
        <is>
          <t>National pick 12</t>
        </is>
      </c>
      <c r="G135" s="3" t="n">
        <v>2357</v>
      </c>
      <c r="H135" s="3" t="n">
        <v>2065</v>
      </c>
      <c r="I135" s="3">
        <f>H135-G135</f>
        <v/>
      </c>
      <c r="J135" s="4">
        <f>IF(G135=0,"",(H135-G135)/G135)</f>
        <v/>
      </c>
      <c r="K135" s="4">
        <f>IF(G135=0,"",(H135-G135*0.891738)/(G135*0.891738))</f>
        <v/>
      </c>
      <c r="L135" s="3" t="n">
        <v>-41</v>
      </c>
      <c r="M135" s="3" t="n">
        <v>0</v>
      </c>
      <c r="N135" s="3" t="n">
        <v>-251</v>
      </c>
      <c r="O135" s="3" t="n">
        <v>0</v>
      </c>
      <c r="P135" s="3" t="n">
        <v>0</v>
      </c>
      <c r="Q135" s="3">
        <f>SUM(L135:P135)-I135</f>
        <v/>
      </c>
    </row>
    <row r="136">
      <c r="A136" s="2" t="inlineStr">
        <is>
          <t>tom-powell</t>
        </is>
      </c>
      <c r="B136" s="2" t="inlineStr">
        <is>
          <t>Tom Powell</t>
        </is>
      </c>
      <c r="C136" s="2" t="inlineStr">
        <is>
          <t>North Melbourne</t>
        </is>
      </c>
      <c r="D136" s="2" t="inlineStr">
        <is>
          <t>MID</t>
        </is>
      </c>
      <c r="E136" s="2" t="n">
        <v>24</v>
      </c>
      <c r="F136" s="2" t="inlineStr">
        <is>
          <t>National pick 13</t>
        </is>
      </c>
      <c r="G136" s="3" t="n">
        <v>2160</v>
      </c>
      <c r="H136" s="3" t="n">
        <v>1890</v>
      </c>
      <c r="I136" s="3">
        <f>H136-G136</f>
        <v/>
      </c>
      <c r="J136" s="4">
        <f>IF(G136=0,"",(H136-G136)/G136)</f>
        <v/>
      </c>
      <c r="K136" s="4">
        <f>IF(G136=0,"",(H136-G136*0.891738)/(G136*0.891738))</f>
        <v/>
      </c>
      <c r="L136" s="3" t="n">
        <v>-41</v>
      </c>
      <c r="M136" s="3" t="n">
        <v>0</v>
      </c>
      <c r="N136" s="3" t="n">
        <v>-229</v>
      </c>
      <c r="O136" s="3" t="n">
        <v>0</v>
      </c>
      <c r="P136" s="3" t="n">
        <v>0</v>
      </c>
      <c r="Q136" s="3">
        <f>SUM(L136:P136)-I136</f>
        <v/>
      </c>
    </row>
    <row r="137">
      <c r="A137" s="2" t="inlineStr">
        <is>
          <t>aaron-naughton</t>
        </is>
      </c>
      <c r="B137" s="2" t="inlineStr">
        <is>
          <t>Aaron Naughton</t>
        </is>
      </c>
      <c r="C137" s="2" t="inlineStr">
        <is>
          <t>Western Bulldogs</t>
        </is>
      </c>
      <c r="D137" s="2" t="inlineStr">
        <is>
          <t>KPF</t>
        </is>
      </c>
      <c r="E137" s="2" t="n">
        <v>27</v>
      </c>
      <c r="F137" s="2" t="inlineStr">
        <is>
          <t>National pick 9</t>
        </is>
      </c>
      <c r="G137" s="3" t="n">
        <v>1309</v>
      </c>
      <c r="H137" s="3" t="n">
        <v>1114</v>
      </c>
      <c r="I137" s="3">
        <f>H137-G137</f>
        <v/>
      </c>
      <c r="J137" s="4">
        <f>IF(G137=0,"",(H137-G137)/G137)</f>
        <v/>
      </c>
      <c r="K137" s="4">
        <f>IF(G137=0,"",(H137-G137*0.891738)/(G137*0.891738))</f>
        <v/>
      </c>
      <c r="L137" s="3" t="n">
        <v>-18</v>
      </c>
      <c r="M137" s="3" t="n">
        <v>-42</v>
      </c>
      <c r="N137" s="3" t="n">
        <v>-135</v>
      </c>
      <c r="O137" s="3" t="n">
        <v>0</v>
      </c>
      <c r="P137" s="3" t="n">
        <v>0</v>
      </c>
      <c r="Q137" s="3">
        <f>SUM(L137:P137)-I137</f>
        <v/>
      </c>
    </row>
    <row r="138">
      <c r="A138" s="2" t="inlineStr">
        <is>
          <t>jonty-faull</t>
        </is>
      </c>
      <c r="B138" s="2" t="inlineStr">
        <is>
          <t>Jonty Faull</t>
        </is>
      </c>
      <c r="C138" s="2" t="inlineStr">
        <is>
          <t>Richmond</t>
        </is>
      </c>
      <c r="D138" s="2" t="inlineStr">
        <is>
          <t>KPF</t>
        </is>
      </c>
      <c r="E138" s="2" t="n">
        <v>20</v>
      </c>
      <c r="F138" s="2" t="inlineStr">
        <is>
          <t>National pick 14</t>
        </is>
      </c>
      <c r="G138" s="3" t="n">
        <v>948</v>
      </c>
      <c r="H138" s="3" t="n">
        <v>859</v>
      </c>
      <c r="I138" s="3">
        <f>H138-G138</f>
        <v/>
      </c>
      <c r="J138" s="4">
        <f>IF(G138=0,"",(H138-G138)/G138)</f>
        <v/>
      </c>
      <c r="K138" s="4">
        <f>IF(G138=0,"",(H138-G138*0.891738)/(G138*0.891738))</f>
        <v/>
      </c>
      <c r="L138" s="3" t="n">
        <v>16</v>
      </c>
      <c r="M138" s="3" t="n">
        <v>0</v>
      </c>
      <c r="N138" s="3" t="n">
        <v>-105</v>
      </c>
      <c r="O138" s="3" t="n">
        <v>0</v>
      </c>
      <c r="P138" s="3" t="n">
        <v>0</v>
      </c>
      <c r="Q138" s="3">
        <f>SUM(L138:P138)-I138</f>
        <v/>
      </c>
    </row>
    <row r="139">
      <c r="A139" s="2" t="inlineStr">
        <is>
          <t>josh-rachele</t>
        </is>
      </c>
      <c r="B139" s="2" t="inlineStr">
        <is>
          <t>Josh Rachele</t>
        </is>
      </c>
      <c r="C139" s="2" t="inlineStr">
        <is>
          <t>Adelaide</t>
        </is>
      </c>
      <c r="D139" s="2" t="inlineStr">
        <is>
          <t>SF</t>
        </is>
      </c>
      <c r="E139" s="2" t="n">
        <v>23</v>
      </c>
      <c r="F139" s="2" t="inlineStr">
        <is>
          <t>National pick 6</t>
        </is>
      </c>
      <c r="G139" s="3" t="n">
        <v>1990</v>
      </c>
      <c r="H139" s="3" t="n">
        <v>1742</v>
      </c>
      <c r="I139" s="3">
        <f>H139-G139</f>
        <v/>
      </c>
      <c r="J139" s="4">
        <f>IF(G139=0,"",(H139-G139)/G139)</f>
        <v/>
      </c>
      <c r="K139" s="4">
        <f>IF(G139=0,"",(H139-G139*0.891738)/(G139*0.891738))</f>
        <v/>
      </c>
      <c r="L139" s="3" t="n">
        <v>-36</v>
      </c>
      <c r="M139" s="3" t="n">
        <v>0</v>
      </c>
      <c r="N139" s="3" t="n">
        <v>-212</v>
      </c>
      <c r="O139" s="3" t="n">
        <v>0</v>
      </c>
      <c r="P139" s="3" t="n">
        <v>0</v>
      </c>
      <c r="Q139" s="3">
        <f>SUM(L139:P139)-I139</f>
        <v/>
      </c>
    </row>
    <row r="140">
      <c r="A140" s="2" t="inlineStr">
        <is>
          <t>tom-sparrow</t>
        </is>
      </c>
      <c r="B140" s="2" t="inlineStr">
        <is>
          <t>Tom Sparrow</t>
        </is>
      </c>
      <c r="C140" s="2" t="inlineStr">
        <is>
          <t>Melbourne</t>
        </is>
      </c>
      <c r="D140" s="2" t="inlineStr">
        <is>
          <t>MID</t>
        </is>
      </c>
      <c r="E140" s="2" t="n">
        <v>26</v>
      </c>
      <c r="F140" s="2" t="inlineStr">
        <is>
          <t>National pick 27</t>
        </is>
      </c>
      <c r="G140" s="3" t="n">
        <v>1652</v>
      </c>
      <c r="H140" s="3" t="n">
        <v>1453</v>
      </c>
      <c r="I140" s="3">
        <f>H140-G140</f>
        <v/>
      </c>
      <c r="J140" s="4">
        <f>IF(G140=0,"",(H140-G140)/G140)</f>
        <v/>
      </c>
      <c r="K140" s="4">
        <f>IF(G140=0,"",(H140-G140*0.891738)/(G140*0.891738))</f>
        <v/>
      </c>
      <c r="L140" s="3" t="n">
        <v>-23</v>
      </c>
      <c r="M140" s="3" t="n">
        <v>0</v>
      </c>
      <c r="N140" s="3" t="n">
        <v>-176</v>
      </c>
      <c r="O140" s="3" t="n">
        <v>0</v>
      </c>
      <c r="P140" s="3" t="n">
        <v>0</v>
      </c>
      <c r="Q140" s="3">
        <f>SUM(L140:P140)-I140</f>
        <v/>
      </c>
    </row>
    <row r="141">
      <c r="A141" s="2" t="inlineStr">
        <is>
          <t>isaac-kako</t>
        </is>
      </c>
      <c r="B141" s="2" t="inlineStr">
        <is>
          <t>Isaac Kako</t>
        </is>
      </c>
      <c r="C141" s="2" t="inlineStr">
        <is>
          <t>Essendon</t>
        </is>
      </c>
      <c r="D141" s="2" t="inlineStr">
        <is>
          <t>SF</t>
        </is>
      </c>
      <c r="E141" s="2" t="n">
        <v>20</v>
      </c>
      <c r="F141" s="2" t="inlineStr">
        <is>
          <t>National pick 13</t>
        </is>
      </c>
      <c r="G141" s="3" t="n">
        <v>1337</v>
      </c>
      <c r="H141" s="3" t="n">
        <v>901</v>
      </c>
      <c r="I141" s="3">
        <f>H141-G141</f>
        <v/>
      </c>
      <c r="J141" s="4">
        <f>IF(G141=0,"",(H141-G141)/G141)</f>
        <v/>
      </c>
      <c r="K141" s="4">
        <f>IF(G141=0,"",(H141-G141*0.891738)/(G141*0.891738))</f>
        <v/>
      </c>
      <c r="L141" s="3" t="n">
        <v>-326</v>
      </c>
      <c r="M141" s="3" t="n">
        <v>0</v>
      </c>
      <c r="N141" s="3" t="n">
        <v>-110</v>
      </c>
      <c r="O141" s="3" t="n">
        <v>0</v>
      </c>
      <c r="P141" s="3" t="n">
        <v>0</v>
      </c>
      <c r="Q141" s="3">
        <f>SUM(L141:P141)-I141</f>
        <v/>
      </c>
    </row>
    <row r="142">
      <c r="A142" s="2" t="inlineStr">
        <is>
          <t>jordan-de-goey</t>
        </is>
      </c>
      <c r="B142" s="2" t="inlineStr">
        <is>
          <t>Jordan De Goey</t>
        </is>
      </c>
      <c r="C142" s="2" t="inlineStr">
        <is>
          <t>Collingwood</t>
        </is>
      </c>
      <c r="D142" s="2" t="inlineStr">
        <is>
          <t>SF</t>
        </is>
      </c>
      <c r="E142" s="2" t="n">
        <v>30</v>
      </c>
      <c r="F142" s="2" t="inlineStr">
        <is>
          <t>National pick 6</t>
        </is>
      </c>
      <c r="G142" s="3" t="n">
        <v>1447</v>
      </c>
      <c r="H142" s="3" t="n">
        <v>1272</v>
      </c>
      <c r="I142" s="3">
        <f>H142-G142</f>
        <v/>
      </c>
      <c r="J142" s="4">
        <f>IF(G142=0,"",(H142-G142)/G142)</f>
        <v/>
      </c>
      <c r="K142" s="4">
        <f>IF(G142=0,"",(H142-G142*0.891738)/(G142*0.891738))</f>
        <v/>
      </c>
      <c r="L142" s="3" t="n">
        <v>-21</v>
      </c>
      <c r="M142" s="3" t="n">
        <v>0</v>
      </c>
      <c r="N142" s="3" t="n">
        <v>-154</v>
      </c>
      <c r="O142" s="3" t="n">
        <v>0</v>
      </c>
      <c r="P142" s="3" t="n">
        <v>0</v>
      </c>
      <c r="Q142" s="3">
        <f>SUM(L142:P142)-I142</f>
        <v/>
      </c>
    </row>
    <row r="143">
      <c r="A143" s="2" t="inlineStr">
        <is>
          <t>hugh-mccluggage</t>
        </is>
      </c>
      <c r="B143" s="2" t="inlineStr">
        <is>
          <t>Hugh McCluggage</t>
        </is>
      </c>
      <c r="C143" s="2" t="inlineStr">
        <is>
          <t>Brisbane</t>
        </is>
      </c>
      <c r="D143" s="2" t="inlineStr">
        <is>
          <t>MID</t>
        </is>
      </c>
      <c r="E143" s="2" t="n">
        <v>28</v>
      </c>
      <c r="F143" s="2" t="inlineStr">
        <is>
          <t>National pick 3</t>
        </is>
      </c>
      <c r="G143" s="3" t="n">
        <v>1563</v>
      </c>
      <c r="H143" s="3" t="n">
        <v>1374</v>
      </c>
      <c r="I143" s="3">
        <f>H143-G143</f>
        <v/>
      </c>
      <c r="J143" s="4">
        <f>IF(G143=0,"",(H143-G143)/G143)</f>
        <v/>
      </c>
      <c r="K143" s="4">
        <f>IF(G143=0,"",(H143-G143*0.891738)/(G143*0.891738))</f>
        <v/>
      </c>
      <c r="L143" s="3" t="n">
        <v>-22</v>
      </c>
      <c r="M143" s="3" t="n">
        <v>0</v>
      </c>
      <c r="N143" s="3" t="n">
        <v>-167</v>
      </c>
      <c r="O143" s="3" t="n">
        <v>0</v>
      </c>
      <c r="P143" s="3" t="n">
        <v>0</v>
      </c>
      <c r="Q143" s="3">
        <f>SUM(L143:P143)-I143</f>
        <v/>
      </c>
    </row>
    <row r="144">
      <c r="A144" s="2" t="inlineStr">
        <is>
          <t>latrelle-pickett</t>
        </is>
      </c>
      <c r="B144" s="2" t="inlineStr">
        <is>
          <t>Latrelle Pickett</t>
        </is>
      </c>
      <c r="C144" s="2" t="inlineStr">
        <is>
          <t>Melbourne</t>
        </is>
      </c>
      <c r="D144" s="2" t="inlineStr">
        <is>
          <t>SF</t>
        </is>
      </c>
      <c r="E144" s="2" t="n">
        <v>21</v>
      </c>
      <c r="F144" s="2" t="inlineStr">
        <is>
          <t>National pick 12</t>
        </is>
      </c>
      <c r="G144" s="3" t="n">
        <v>548</v>
      </c>
      <c r="H144" s="3" t="n">
        <v>529</v>
      </c>
      <c r="I144" s="3">
        <f>H144-G144</f>
        <v/>
      </c>
      <c r="J144" s="4">
        <f>IF(G144=0,"",(H144-G144)/G144)</f>
        <v/>
      </c>
      <c r="K144" s="4">
        <f>IF(G144=0,"",(H144-G144*0.891738)/(G144*0.891738))</f>
        <v/>
      </c>
      <c r="L144" s="3" t="n">
        <v>0</v>
      </c>
      <c r="M144" s="3" t="n">
        <v>0</v>
      </c>
      <c r="N144" s="3" t="n">
        <v>-19</v>
      </c>
      <c r="O144" s="3" t="n">
        <v>0</v>
      </c>
      <c r="P144" s="3" t="n">
        <v>0</v>
      </c>
      <c r="Q144" s="3">
        <f>SUM(L144:P144)-I144</f>
        <v/>
      </c>
    </row>
    <row r="145">
      <c r="A145" s="2" t="inlineStr">
        <is>
          <t>peter-wright</t>
        </is>
      </c>
      <c r="B145" s="2" t="inlineStr">
        <is>
          <t>Peter Wright</t>
        </is>
      </c>
      <c r="C145" s="2" t="inlineStr">
        <is>
          <t>Essendon</t>
        </is>
      </c>
      <c r="D145" s="2" t="inlineStr">
        <is>
          <t>KPF</t>
        </is>
      </c>
      <c r="E145" s="2" t="n">
        <v>30</v>
      </c>
      <c r="F145" s="2" t="inlineStr">
        <is>
          <t>National pick 10</t>
        </is>
      </c>
      <c r="G145" s="3" t="n">
        <v>1788</v>
      </c>
      <c r="H145" s="3" t="n">
        <v>1536</v>
      </c>
      <c r="I145" s="3">
        <f>H145-G145</f>
        <v/>
      </c>
      <c r="J145" s="4">
        <f>IF(G145=0,"",(H145-G145)/G145)</f>
        <v/>
      </c>
      <c r="K145" s="4">
        <f>IF(G145=0,"",(H145-G145*0.891738)/(G145*0.891738))</f>
        <v/>
      </c>
      <c r="L145" s="3" t="n">
        <v>-25</v>
      </c>
      <c r="M145" s="3" t="n">
        <v>-40</v>
      </c>
      <c r="N145" s="3" t="n">
        <v>-187</v>
      </c>
      <c r="O145" s="3" t="n">
        <v>0</v>
      </c>
      <c r="P145" s="3" t="n">
        <v>0</v>
      </c>
      <c r="Q145" s="3">
        <f>SUM(L145:P145)-I145</f>
        <v/>
      </c>
    </row>
    <row r="146">
      <c r="A146" s="2" t="inlineStr">
        <is>
          <t>ethan-read</t>
        </is>
      </c>
      <c r="B146" s="2" t="inlineStr">
        <is>
          <t>Ethan Read</t>
        </is>
      </c>
      <c r="C146" s="2" t="inlineStr">
        <is>
          <t>Gold Coast</t>
        </is>
      </c>
      <c r="D146" s="2" t="inlineStr">
        <is>
          <t>KPF</t>
        </is>
      </c>
      <c r="E146" s="2" t="n">
        <v>21</v>
      </c>
      <c r="F146" s="2" t="inlineStr">
        <is>
          <t>National pick 9</t>
        </is>
      </c>
      <c r="G146" s="3" t="n">
        <v>957</v>
      </c>
      <c r="H146" s="3" t="n">
        <v>735</v>
      </c>
      <c r="I146" s="3">
        <f>H146-G146</f>
        <v/>
      </c>
      <c r="J146" s="4">
        <f>IF(G146=0,"",(H146-G146)/G146)</f>
        <v/>
      </c>
      <c r="K146" s="4">
        <f>IF(G146=0,"",(H146-G146*0.891738)/(G146*0.891738))</f>
        <v/>
      </c>
      <c r="L146" s="3" t="n">
        <v>-132</v>
      </c>
      <c r="M146" s="3" t="n">
        <v>0</v>
      </c>
      <c r="N146" s="3" t="n">
        <v>-90</v>
      </c>
      <c r="O146" s="3" t="n">
        <v>0</v>
      </c>
      <c r="P146" s="3" t="n">
        <v>0</v>
      </c>
      <c r="Q146" s="3">
        <f>SUM(L146:P146)-I146</f>
        <v/>
      </c>
    </row>
    <row r="147">
      <c r="A147" s="2" t="inlineStr">
        <is>
          <t>patrick-cripps</t>
        </is>
      </c>
      <c r="B147" s="2" t="inlineStr">
        <is>
          <t>Patrick Cripps</t>
        </is>
      </c>
      <c r="C147" s="2" t="inlineStr">
        <is>
          <t>Carlton</t>
        </is>
      </c>
      <c r="D147" s="2" t="inlineStr">
        <is>
          <t>MID</t>
        </is>
      </c>
      <c r="E147" s="2" t="n">
        <v>31</v>
      </c>
      <c r="F147" s="2" t="inlineStr">
        <is>
          <t>National pick 13</t>
        </is>
      </c>
      <c r="G147" s="3" t="n">
        <v>1550</v>
      </c>
      <c r="H147" s="3" t="n">
        <v>1363</v>
      </c>
      <c r="I147" s="3">
        <f>H147-G147</f>
        <v/>
      </c>
      <c r="J147" s="4">
        <f>IF(G147=0,"",(H147-G147)/G147)</f>
        <v/>
      </c>
      <c r="K147" s="4">
        <f>IF(G147=0,"",(H147-G147*0.891738)/(G147*0.891738))</f>
        <v/>
      </c>
      <c r="L147" s="3" t="n">
        <v>-22</v>
      </c>
      <c r="M147" s="3" t="n">
        <v>0</v>
      </c>
      <c r="N147" s="3" t="n">
        <v>-165</v>
      </c>
      <c r="O147" s="3" t="n">
        <v>0</v>
      </c>
      <c r="P147" s="3" t="n">
        <v>0</v>
      </c>
      <c r="Q147" s="3">
        <f>SUM(L147:P147)-I147</f>
        <v/>
      </c>
    </row>
    <row r="148">
      <c r="A148" s="2" t="inlineStr">
        <is>
          <t>karl-worner</t>
        </is>
      </c>
      <c r="B148" s="2" t="inlineStr">
        <is>
          <t>Karl Worner</t>
        </is>
      </c>
      <c r="C148" s="2" t="inlineStr">
        <is>
          <t>Fremantle</t>
        </is>
      </c>
      <c r="D148" s="2" t="inlineStr">
        <is>
          <t>SD</t>
        </is>
      </c>
      <c r="E148" s="2" t="n">
        <v>24</v>
      </c>
      <c r="F148" s="2" t="inlineStr">
        <is>
          <t>Rookie pick 4</t>
        </is>
      </c>
      <c r="G148" s="3" t="n">
        <v>1246</v>
      </c>
      <c r="H148" s="3" t="n">
        <v>1064</v>
      </c>
      <c r="I148" s="3">
        <f>H148-G148</f>
        <v/>
      </c>
      <c r="J148" s="4">
        <f>IF(G148=0,"",(H148-G148)/G148)</f>
        <v/>
      </c>
      <c r="K148" s="4">
        <f>IF(G148=0,"",(H148-G148*0.891738)/(G148*0.891738))</f>
        <v/>
      </c>
      <c r="L148" s="3" t="n">
        <v>-53</v>
      </c>
      <c r="M148" s="3" t="n">
        <v>0</v>
      </c>
      <c r="N148" s="3" t="n">
        <v>-129</v>
      </c>
      <c r="O148" s="3" t="n">
        <v>0</v>
      </c>
      <c r="P148" s="3" t="n">
        <v>0</v>
      </c>
      <c r="Q148" s="3">
        <f>SUM(L148:P148)-I148</f>
        <v/>
      </c>
    </row>
    <row r="149">
      <c r="A149" s="2" t="inlineStr">
        <is>
          <t>taj-hotton</t>
        </is>
      </c>
      <c r="B149" s="2" t="inlineStr">
        <is>
          <t>Taj Hotton</t>
        </is>
      </c>
      <c r="C149" s="2" t="inlineStr">
        <is>
          <t>Richmond</t>
        </is>
      </c>
      <c r="D149" s="2" t="inlineStr">
        <is>
          <t>MID</t>
        </is>
      </c>
      <c r="E149" s="2" t="n">
        <v>20</v>
      </c>
      <c r="F149" s="2" t="inlineStr">
        <is>
          <t>National pick 12</t>
        </is>
      </c>
      <c r="G149" s="3" t="n">
        <v>2263</v>
      </c>
      <c r="H149" s="3" t="n">
        <v>1692</v>
      </c>
      <c r="I149" s="3">
        <f>H149-G149</f>
        <v/>
      </c>
      <c r="J149" s="4">
        <f>IF(G149=0,"",(H149-G149)/G149)</f>
        <v/>
      </c>
      <c r="K149" s="4">
        <f>IF(G149=0,"",(H149-G149*0.891738)/(G149*0.891738))</f>
        <v/>
      </c>
      <c r="L149" s="3" t="n">
        <v>-364</v>
      </c>
      <c r="M149" s="3" t="n">
        <v>0</v>
      </c>
      <c r="N149" s="3" t="n">
        <v>-207</v>
      </c>
      <c r="O149" s="3" t="n">
        <v>0</v>
      </c>
      <c r="P149" s="3" t="n">
        <v>0</v>
      </c>
      <c r="Q149" s="3">
        <f>SUM(L149:P149)-I149</f>
        <v/>
      </c>
    </row>
    <row r="150">
      <c r="A150" s="2" t="inlineStr">
        <is>
          <t>tom-mccarthy</t>
        </is>
      </c>
      <c r="B150" s="2" t="inlineStr">
        <is>
          <t>Tom McCarthy</t>
        </is>
      </c>
      <c r="C150" s="2" t="inlineStr">
        <is>
          <t>West Coast</t>
        </is>
      </c>
      <c r="D150" s="2" t="inlineStr">
        <is>
          <t>SD</t>
        </is>
      </c>
      <c r="E150" s="2" t="n">
        <v>26</v>
      </c>
      <c r="F150" s="2" t="inlineStr">
        <is>
          <t>Mid-Season pick 1</t>
        </is>
      </c>
      <c r="G150" s="3" t="n">
        <v>1437</v>
      </c>
      <c r="H150" s="3" t="n">
        <v>1193</v>
      </c>
      <c r="I150" s="3">
        <f>H150-G150</f>
        <v/>
      </c>
      <c r="J150" s="4">
        <f>IF(G150=0,"",(H150-G150)/G150)</f>
        <v/>
      </c>
      <c r="K150" s="4">
        <f>IF(G150=0,"",(H150-G150*0.891738)/(G150*0.891738))</f>
        <v/>
      </c>
      <c r="L150" s="3" t="n">
        <v>-99</v>
      </c>
      <c r="M150" s="3" t="n">
        <v>0</v>
      </c>
      <c r="N150" s="3" t="n">
        <v>-145</v>
      </c>
      <c r="O150" s="3" t="n">
        <v>0</v>
      </c>
      <c r="P150" s="3" t="n">
        <v>0</v>
      </c>
      <c r="Q150" s="3">
        <f>SUM(L150:P150)-I150</f>
        <v/>
      </c>
    </row>
    <row r="151">
      <c r="A151" s="2" t="inlineStr">
        <is>
          <t>xavier-lindsay</t>
        </is>
      </c>
      <c r="B151" s="2" t="inlineStr">
        <is>
          <t>Xavier Lindsay</t>
        </is>
      </c>
      <c r="C151" s="2" t="inlineStr">
        <is>
          <t>Melbourne</t>
        </is>
      </c>
      <c r="D151" s="2" t="inlineStr">
        <is>
          <t>MID</t>
        </is>
      </c>
      <c r="E151" s="2" t="n">
        <v>20</v>
      </c>
      <c r="F151" s="2" t="inlineStr">
        <is>
          <t>National pick 11</t>
        </is>
      </c>
      <c r="G151" s="3" t="n">
        <v>2059</v>
      </c>
      <c r="H151" s="3" t="n">
        <v>1497</v>
      </c>
      <c r="I151" s="3">
        <f>H151-G151</f>
        <v/>
      </c>
      <c r="J151" s="4">
        <f>IF(G151=0,"",(H151-G151)/G151)</f>
        <v/>
      </c>
      <c r="K151" s="4">
        <f>IF(G151=0,"",(H151-G151*0.891738)/(G151*0.891738))</f>
        <v/>
      </c>
      <c r="L151" s="3" t="n">
        <v>-380</v>
      </c>
      <c r="M151" s="3" t="n">
        <v>0</v>
      </c>
      <c r="N151" s="3" t="n">
        <v>-182</v>
      </c>
      <c r="O151" s="3" t="n">
        <v>0</v>
      </c>
      <c r="P151" s="3" t="n">
        <v>0</v>
      </c>
      <c r="Q151" s="3">
        <f>SUM(L151:P151)-I151</f>
        <v/>
      </c>
    </row>
    <row r="152">
      <c r="A152" s="2" t="inlineStr">
        <is>
          <t>luke-parker</t>
        </is>
      </c>
      <c r="B152" s="2" t="inlineStr">
        <is>
          <t>Luke Parker</t>
        </is>
      </c>
      <c r="C152" s="2" t="inlineStr">
        <is>
          <t>North Melbourne</t>
        </is>
      </c>
      <c r="D152" s="2" t="inlineStr">
        <is>
          <t>SD</t>
        </is>
      </c>
      <c r="E152" s="2" t="n">
        <v>34</v>
      </c>
      <c r="F152" s="2" t="inlineStr">
        <is>
          <t>National pick 42</t>
        </is>
      </c>
      <c r="G152" s="3" t="n">
        <v>1384</v>
      </c>
      <c r="H152" s="3" t="n">
        <v>1218</v>
      </c>
      <c r="I152" s="3">
        <f>H152-G152</f>
        <v/>
      </c>
      <c r="J152" s="4">
        <f>IF(G152=0,"",(H152-G152)/G152)</f>
        <v/>
      </c>
      <c r="K152" s="4">
        <f>IF(G152=0,"",(H152-G152*0.891738)/(G152*0.891738))</f>
        <v/>
      </c>
      <c r="L152" s="3" t="n">
        <v>-19</v>
      </c>
      <c r="M152" s="3" t="n">
        <v>0</v>
      </c>
      <c r="N152" s="3" t="n">
        <v>-147</v>
      </c>
      <c r="O152" s="3" t="n">
        <v>0</v>
      </c>
      <c r="P152" s="3" t="n">
        <v>0</v>
      </c>
      <c r="Q152" s="3">
        <f>SUM(L152:P152)-I152</f>
        <v/>
      </c>
    </row>
    <row r="153">
      <c r="A153" s="2" t="inlineStr">
        <is>
          <t>zane-duursma</t>
        </is>
      </c>
      <c r="B153" s="2" t="inlineStr">
        <is>
          <t>Zane Duursma</t>
        </is>
      </c>
      <c r="C153" s="2" t="inlineStr">
        <is>
          <t>North Melbourne</t>
        </is>
      </c>
      <c r="D153" s="2" t="inlineStr">
        <is>
          <t>SF</t>
        </is>
      </c>
      <c r="E153" s="2" t="n">
        <v>21</v>
      </c>
      <c r="F153" s="2" t="inlineStr">
        <is>
          <t>National pick 4</t>
        </is>
      </c>
      <c r="G153" s="3" t="n">
        <v>765</v>
      </c>
      <c r="H153" s="3" t="n">
        <v>650</v>
      </c>
      <c r="I153" s="3">
        <f>H153-G153</f>
        <v/>
      </c>
      <c r="J153" s="4">
        <f>IF(G153=0,"",(H153-G153)/G153)</f>
        <v/>
      </c>
      <c r="K153" s="4">
        <f>IF(G153=0,"",(H153-G153*0.891738)/(G153*0.891738))</f>
        <v/>
      </c>
      <c r="L153" s="3" t="n">
        <v>-36</v>
      </c>
      <c r="M153" s="3" t="n">
        <v>0</v>
      </c>
      <c r="N153" s="3" t="n">
        <v>-79</v>
      </c>
      <c r="O153" s="3" t="n">
        <v>0</v>
      </c>
      <c r="P153" s="3" t="n">
        <v>0</v>
      </c>
      <c r="Q153" s="3">
        <f>SUM(L153:P153)-I153</f>
        <v/>
      </c>
    </row>
    <row r="154">
      <c r="A154" s="2" t="inlineStr">
        <is>
          <t>luke-trainor</t>
        </is>
      </c>
      <c r="B154" s="2" t="inlineStr">
        <is>
          <t>Luke Trainor</t>
        </is>
      </c>
      <c r="C154" s="2" t="inlineStr">
        <is>
          <t>Richmond</t>
        </is>
      </c>
      <c r="D154" s="2" t="inlineStr">
        <is>
          <t>KPD</t>
        </is>
      </c>
      <c r="E154" s="2" t="n">
        <v>20</v>
      </c>
      <c r="F154" s="2" t="inlineStr">
        <is>
          <t>National pick 21</t>
        </is>
      </c>
      <c r="G154" s="3" t="n">
        <v>1525</v>
      </c>
      <c r="H154" s="3" t="n">
        <v>1048</v>
      </c>
      <c r="I154" s="3">
        <f>H154-G154</f>
        <v/>
      </c>
      <c r="J154" s="4">
        <f>IF(G154=0,"",(H154-G154)/G154)</f>
        <v/>
      </c>
      <c r="K154" s="4">
        <f>IF(G154=0,"",(H154-G154*0.891738)/(G154*0.891738))</f>
        <v/>
      </c>
      <c r="L154" s="3" t="n">
        <v>-350</v>
      </c>
      <c r="M154" s="3" t="n">
        <v>0</v>
      </c>
      <c r="N154" s="3" t="n">
        <v>-127</v>
      </c>
      <c r="O154" s="3" t="n">
        <v>0</v>
      </c>
      <c r="P154" s="3" t="n">
        <v>0</v>
      </c>
      <c r="Q154" s="3">
        <f>SUM(L154:P154)-I154</f>
        <v/>
      </c>
    </row>
    <row r="155">
      <c r="A155" s="2" t="inlineStr">
        <is>
          <t>jake-soligo</t>
        </is>
      </c>
      <c r="B155" s="2" t="inlineStr">
        <is>
          <t>Jake Soligo</t>
        </is>
      </c>
      <c r="C155" s="2" t="inlineStr">
        <is>
          <t>Adelaide</t>
        </is>
      </c>
      <c r="D155" s="2" t="inlineStr">
        <is>
          <t>MID</t>
        </is>
      </c>
      <c r="E155" s="2" t="n">
        <v>23</v>
      </c>
      <c r="F155" s="2" t="inlineStr">
        <is>
          <t>National pick 36</t>
        </is>
      </c>
      <c r="G155" s="3" t="n">
        <v>2075</v>
      </c>
      <c r="H155" s="3" t="n">
        <v>1813</v>
      </c>
      <c r="I155" s="3">
        <f>H155-G155</f>
        <v/>
      </c>
      <c r="J155" s="4">
        <f>IF(G155=0,"",(H155-G155)/G155)</f>
        <v/>
      </c>
      <c r="K155" s="4">
        <f>IF(G155=0,"",(H155-G155*0.891738)/(G155*0.891738))</f>
        <v/>
      </c>
      <c r="L155" s="3" t="n">
        <v>-43</v>
      </c>
      <c r="M155" s="3" t="n">
        <v>0</v>
      </c>
      <c r="N155" s="3" t="n">
        <v>-219</v>
      </c>
      <c r="O155" s="3" t="n">
        <v>0</v>
      </c>
      <c r="P155" s="3" t="n">
        <v>0</v>
      </c>
      <c r="Q155" s="3">
        <f>SUM(L155:P155)-I155</f>
        <v/>
      </c>
    </row>
    <row r="156">
      <c r="A156" s="2" t="inlineStr">
        <is>
          <t>tim-kelly</t>
        </is>
      </c>
      <c r="B156" s="2" t="inlineStr">
        <is>
          <t>Tim Kelly</t>
        </is>
      </c>
      <c r="C156" s="2" t="inlineStr">
        <is>
          <t>West Coast</t>
        </is>
      </c>
      <c r="D156" s="2" t="inlineStr">
        <is>
          <t>MID</t>
        </is>
      </c>
      <c r="E156" s="2" t="n">
        <v>32</v>
      </c>
      <c r="F156" s="2" t="inlineStr">
        <is>
          <t>National pick 24</t>
        </is>
      </c>
      <c r="G156" s="3" t="n">
        <v>1228</v>
      </c>
      <c r="H156" s="3" t="n">
        <v>1078</v>
      </c>
      <c r="I156" s="3">
        <f>H156-G156</f>
        <v/>
      </c>
      <c r="J156" s="4">
        <f>IF(G156=0,"",(H156-G156)/G156)</f>
        <v/>
      </c>
      <c r="K156" s="4">
        <f>IF(G156=0,"",(H156-G156*0.891738)/(G156*0.891738))</f>
        <v/>
      </c>
      <c r="L156" s="3" t="n">
        <v>-17</v>
      </c>
      <c r="M156" s="3" t="n">
        <v>0</v>
      </c>
      <c r="N156" s="3" t="n">
        <v>-133</v>
      </c>
      <c r="O156" s="3" t="n">
        <v>0</v>
      </c>
      <c r="P156" s="3" t="n">
        <v>0</v>
      </c>
      <c r="Q156" s="3">
        <f>SUM(L156:P156)-I156</f>
        <v/>
      </c>
    </row>
    <row r="157">
      <c r="A157" s="2" t="inlineStr">
        <is>
          <t>marcus-herbert</t>
        </is>
      </c>
      <c r="B157" s="2" t="inlineStr">
        <is>
          <t>Marcus Herbert</t>
        </is>
      </c>
      <c r="C157" s="2" t="inlineStr">
        <is>
          <t>West Coast</t>
        </is>
      </c>
      <c r="D157" s="2" t="inlineStr">
        <is>
          <t>SD</t>
        </is>
      </c>
      <c r="E157" s="2" t="n">
        <v>24</v>
      </c>
      <c r="F157" s="2" t="inlineStr">
        <is>
          <t>Mid-Season pick 13</t>
        </is>
      </c>
      <c r="G157" s="3" t="n">
        <v>1223</v>
      </c>
      <c r="H157" s="3" t="n">
        <v>865</v>
      </c>
      <c r="I157" s="3">
        <f>H157-G157</f>
        <v/>
      </c>
      <c r="J157" s="4">
        <f>IF(G157=0,"",(H157-G157)/G157)</f>
        <v/>
      </c>
      <c r="K157" s="4">
        <f>IF(G157=0,"",(H157-G157*0.891738)/(G157*0.891738))</f>
        <v/>
      </c>
      <c r="L157" s="3" t="n">
        <v>-254</v>
      </c>
      <c r="M157" s="3" t="n">
        <v>0</v>
      </c>
      <c r="N157" s="3" t="n">
        <v>-104</v>
      </c>
      <c r="O157" s="3" t="n">
        <v>0</v>
      </c>
      <c r="P157" s="3" t="n">
        <v>0</v>
      </c>
      <c r="Q157" s="3">
        <f>SUM(L157:P157)-I157</f>
        <v/>
      </c>
    </row>
    <row r="158">
      <c r="A158" s="2" t="inlineStr">
        <is>
          <t>caleb-daniel</t>
        </is>
      </c>
      <c r="B158" s="2" t="inlineStr">
        <is>
          <t>Caleb Daniel</t>
        </is>
      </c>
      <c r="C158" s="2" t="inlineStr">
        <is>
          <t>North Melbourne</t>
        </is>
      </c>
      <c r="D158" s="2" t="inlineStr">
        <is>
          <t>SD</t>
        </is>
      </c>
      <c r="E158" s="2" t="n">
        <v>30</v>
      </c>
      <c r="F158" s="2" t="inlineStr">
        <is>
          <t>National pick 46</t>
        </is>
      </c>
      <c r="G158" s="3" t="n">
        <v>1346</v>
      </c>
      <c r="H158" s="3" t="n">
        <v>1184</v>
      </c>
      <c r="I158" s="3">
        <f>H158-G158</f>
        <v/>
      </c>
      <c r="J158" s="4">
        <f>IF(G158=0,"",(H158-G158)/G158)</f>
        <v/>
      </c>
      <c r="K158" s="4">
        <f>IF(G158=0,"",(H158-G158*0.891738)/(G158*0.891738))</f>
        <v/>
      </c>
      <c r="L158" s="3" t="n">
        <v>-19</v>
      </c>
      <c r="M158" s="3" t="n">
        <v>0</v>
      </c>
      <c r="N158" s="3" t="n">
        <v>-143</v>
      </c>
      <c r="O158" s="3" t="n">
        <v>0</v>
      </c>
      <c r="P158" s="3" t="n">
        <v>0</v>
      </c>
      <c r="Q158" s="3">
        <f>SUM(L158:P158)-I158</f>
        <v/>
      </c>
    </row>
    <row r="159">
      <c r="A159" s="2" t="inlineStr">
        <is>
          <t>harry-kyle</t>
        </is>
      </c>
      <c r="B159" s="2" t="inlineStr">
        <is>
          <t>Harry Kyle</t>
        </is>
      </c>
      <c r="C159" s="2" t="inlineStr">
        <is>
          <t>Sydney</t>
        </is>
      </c>
      <c r="D159" s="2" t="inlineStr">
        <is>
          <t>SD</t>
        </is>
      </c>
      <c r="E159" s="2" t="n">
        <v>19</v>
      </c>
      <c r="F159" s="2" t="inlineStr">
        <is>
          <t>National pick 14</t>
        </is>
      </c>
      <c r="G159" s="3" t="n">
        <v>1149</v>
      </c>
      <c r="H159" s="3" t="n">
        <v>760</v>
      </c>
      <c r="I159" s="3">
        <f>H159-G159</f>
        <v/>
      </c>
      <c r="J159" s="4">
        <f>IF(G159=0,"",(H159-G159)/G159)</f>
        <v/>
      </c>
      <c r="K159" s="4">
        <f>IF(G159=0,"",(H159-G159*0.891738)/(G159*0.891738))</f>
        <v/>
      </c>
      <c r="L159" s="3" t="n">
        <v>-298</v>
      </c>
      <c r="M159" s="3" t="n">
        <v>0</v>
      </c>
      <c r="N159" s="3" t="n">
        <v>-91</v>
      </c>
      <c r="O159" s="3" t="n">
        <v>0</v>
      </c>
      <c r="P159" s="3" t="n">
        <v>0</v>
      </c>
      <c r="Q159" s="3">
        <f>SUM(L159:P159)-I159</f>
        <v/>
      </c>
    </row>
    <row r="160">
      <c r="A160" s="2" t="inlineStr">
        <is>
          <t>oskar-taylor</t>
        </is>
      </c>
      <c r="B160" s="2" t="inlineStr">
        <is>
          <t>Oskar Taylor</t>
        </is>
      </c>
      <c r="C160" s="2" t="inlineStr">
        <is>
          <t>GWS</t>
        </is>
      </c>
      <c r="D160" s="2" t="inlineStr">
        <is>
          <t>SD</t>
        </is>
      </c>
      <c r="E160" s="2" t="n">
        <v>19</v>
      </c>
      <c r="F160" s="2" t="inlineStr">
        <is>
          <t>National pick 15</t>
        </is>
      </c>
      <c r="G160" s="3" t="n">
        <v>643</v>
      </c>
      <c r="H160" s="3" t="n">
        <v>609</v>
      </c>
      <c r="I160" s="3">
        <f>H160-G160</f>
        <v/>
      </c>
      <c r="J160" s="4">
        <f>IF(G160=0,"",(H160-G160)/G160)</f>
        <v/>
      </c>
      <c r="K160" s="4">
        <f>IF(G160=0,"",(H160-G160*0.891738)/(G160*0.891738))</f>
        <v/>
      </c>
      <c r="L160" s="3" t="n">
        <v>0</v>
      </c>
      <c r="M160" s="3" t="n">
        <v>0</v>
      </c>
      <c r="N160" s="3" t="n">
        <v>-34</v>
      </c>
      <c r="O160" s="3" t="n">
        <v>0</v>
      </c>
      <c r="P160" s="3" t="n">
        <v>0</v>
      </c>
      <c r="Q160" s="3">
        <f>SUM(L160:P160)-I160</f>
        <v/>
      </c>
    </row>
    <row r="161">
      <c r="A161" s="2" t="inlineStr">
        <is>
          <t>tom-mccartin</t>
        </is>
      </c>
      <c r="B161" s="2" t="inlineStr">
        <is>
          <t>Tom McCartin</t>
        </is>
      </c>
      <c r="C161" s="2" t="inlineStr">
        <is>
          <t>Sydney</t>
        </is>
      </c>
      <c r="D161" s="2" t="inlineStr">
        <is>
          <t>KPD</t>
        </is>
      </c>
      <c r="E161" s="2" t="n">
        <v>27</v>
      </c>
      <c r="F161" s="2" t="inlineStr">
        <is>
          <t>National pick 33</t>
        </is>
      </c>
      <c r="G161" s="3" t="n">
        <v>1771</v>
      </c>
      <c r="H161" s="3" t="n">
        <v>1560</v>
      </c>
      <c r="I161" s="3">
        <f>H161-G161</f>
        <v/>
      </c>
      <c r="J161" s="4">
        <f>IF(G161=0,"",(H161-G161)/G161)</f>
        <v/>
      </c>
      <c r="K161" s="4">
        <f>IF(G161=0,"",(H161-G161*0.891738)/(G161*0.891738))</f>
        <v/>
      </c>
      <c r="L161" s="3" t="n">
        <v>-22</v>
      </c>
      <c r="M161" s="3" t="n">
        <v>0</v>
      </c>
      <c r="N161" s="3" t="n">
        <v>-189</v>
      </c>
      <c r="O161" s="3" t="n">
        <v>0</v>
      </c>
      <c r="P161" s="3" t="n">
        <v>0</v>
      </c>
      <c r="Q161" s="3">
        <f>SUM(L161:P161)-I161</f>
        <v/>
      </c>
    </row>
    <row r="162">
      <c r="A162" s="2" t="inlineStr">
        <is>
          <t>mitch-georgiades</t>
        </is>
      </c>
      <c r="B162" s="2" t="inlineStr">
        <is>
          <t>Mitch Georgiades</t>
        </is>
      </c>
      <c r="C162" s="2" t="inlineStr">
        <is>
          <t>Port Adelaide</t>
        </is>
      </c>
      <c r="D162" s="2" t="inlineStr">
        <is>
          <t>KPF</t>
        </is>
      </c>
      <c r="E162" s="2" t="n">
        <v>25</v>
      </c>
      <c r="F162" s="2" t="inlineStr">
        <is>
          <t>National pick 18</t>
        </is>
      </c>
      <c r="G162" s="3" t="n">
        <v>1464</v>
      </c>
      <c r="H162" s="3" t="n">
        <v>1266</v>
      </c>
      <c r="I162" s="3">
        <f>H162-G162</f>
        <v/>
      </c>
      <c r="J162" s="4">
        <f>IF(G162=0,"",(H162-G162)/G162)</f>
        <v/>
      </c>
      <c r="K162" s="4">
        <f>IF(G162=0,"",(H162-G162*0.891738)/(G162*0.891738))</f>
        <v/>
      </c>
      <c r="L162" s="3" t="n">
        <v>-25</v>
      </c>
      <c r="M162" s="3" t="n">
        <v>-19</v>
      </c>
      <c r="N162" s="3" t="n">
        <v>-154</v>
      </c>
      <c r="O162" s="3" t="n">
        <v>0</v>
      </c>
      <c r="P162" s="3" t="n">
        <v>0</v>
      </c>
      <c r="Q162" s="3">
        <f>SUM(L162:P162)-I162</f>
        <v/>
      </c>
    </row>
    <row r="163">
      <c r="A163" s="2" t="inlineStr">
        <is>
          <t>beau-addinsall</t>
        </is>
      </c>
      <c r="B163" s="2" t="inlineStr">
        <is>
          <t>Beau Addinsall</t>
        </is>
      </c>
      <c r="C163" s="2" t="inlineStr">
        <is>
          <t>Gold Coast</t>
        </is>
      </c>
      <c r="D163" s="2" t="inlineStr">
        <is>
          <t>MID</t>
        </is>
      </c>
      <c r="E163" s="2" t="n">
        <v>19</v>
      </c>
      <c r="F163" s="2" t="inlineStr">
        <is>
          <t>National pick 18</t>
        </is>
      </c>
      <c r="G163" s="3" t="n">
        <v>1517</v>
      </c>
      <c r="H163" s="3" t="n">
        <v>1081</v>
      </c>
      <c r="I163" s="3">
        <f>H163-G163</f>
        <v/>
      </c>
      <c r="J163" s="4">
        <f>IF(G163=0,"",(H163-G163)/G163)</f>
        <v/>
      </c>
      <c r="K163" s="4">
        <f>IF(G163=0,"",(H163-G163*0.891738)/(G163*0.891738))</f>
        <v/>
      </c>
      <c r="L163" s="3" t="n">
        <v>-305</v>
      </c>
      <c r="M163" s="3" t="n">
        <v>0</v>
      </c>
      <c r="N163" s="3" t="n">
        <v>-131</v>
      </c>
      <c r="O163" s="3" t="n">
        <v>0</v>
      </c>
      <c r="P163" s="3" t="n">
        <v>0</v>
      </c>
      <c r="Q163" s="3">
        <f>SUM(L163:P163)-I163</f>
        <v/>
      </c>
    </row>
    <row r="164">
      <c r="A164" s="2" t="inlineStr">
        <is>
          <t>caleb-windsor</t>
        </is>
      </c>
      <c r="B164" s="2" t="inlineStr">
        <is>
          <t>Caleb Windsor</t>
        </is>
      </c>
      <c r="C164" s="2" t="inlineStr">
        <is>
          <t>Melbourne</t>
        </is>
      </c>
      <c r="D164" s="2" t="inlineStr">
        <is>
          <t>MID</t>
        </is>
      </c>
      <c r="E164" s="2" t="n">
        <v>21</v>
      </c>
      <c r="F164" s="2" t="inlineStr">
        <is>
          <t>National pick 7</t>
        </is>
      </c>
      <c r="G164" s="3" t="n">
        <v>1647</v>
      </c>
      <c r="H164" s="3" t="n">
        <v>1390</v>
      </c>
      <c r="I164" s="3">
        <f>H164-G164</f>
        <v/>
      </c>
      <c r="J164" s="4">
        <f>IF(G164=0,"",(H164-G164)/G164)</f>
        <v/>
      </c>
      <c r="K164" s="4">
        <f>IF(G164=0,"",(H164-G164*0.891738)/(G164*0.891738))</f>
        <v/>
      </c>
      <c r="L164" s="3" t="n">
        <v>-88</v>
      </c>
      <c r="M164" s="3" t="n">
        <v>0</v>
      </c>
      <c r="N164" s="3" t="n">
        <v>-169</v>
      </c>
      <c r="O164" s="3" t="n">
        <v>0</v>
      </c>
      <c r="P164" s="3" t="n">
        <v>0</v>
      </c>
      <c r="Q164" s="3">
        <f>SUM(L164:P164)-I164</f>
        <v/>
      </c>
    </row>
    <row r="165">
      <c r="A165" s="2" t="inlineStr">
        <is>
          <t>taylor-goad</t>
        </is>
      </c>
      <c r="B165" s="2" t="inlineStr">
        <is>
          <t>Taylor Goad</t>
        </is>
      </c>
      <c r="C165" s="2" t="inlineStr">
        <is>
          <t>North Melbourne</t>
        </is>
      </c>
      <c r="D165" s="2" t="inlineStr">
        <is>
          <t>RUCK</t>
        </is>
      </c>
      <c r="E165" s="2" t="n">
        <v>21</v>
      </c>
      <c r="F165" s="2" t="inlineStr">
        <is>
          <t>National pick 20</t>
        </is>
      </c>
      <c r="G165" s="3" t="n">
        <v>1044</v>
      </c>
      <c r="H165" s="3" t="n">
        <v>671</v>
      </c>
      <c r="I165" s="3">
        <f>H165-G165</f>
        <v/>
      </c>
      <c r="J165" s="4">
        <f>IF(G165=0,"",(H165-G165)/G165)</f>
        <v/>
      </c>
      <c r="K165" s="4">
        <f>IF(G165=0,"",(H165-G165*0.891738)/(G165*0.891738))</f>
        <v/>
      </c>
      <c r="L165" s="3" t="n">
        <v>-59</v>
      </c>
      <c r="M165" s="3" t="n">
        <v>0</v>
      </c>
      <c r="N165" s="3" t="n">
        <v>-85</v>
      </c>
      <c r="O165" s="3" t="n">
        <v>-70</v>
      </c>
      <c r="P165" s="3" t="n">
        <v>-159</v>
      </c>
      <c r="Q165" s="3">
        <f>SUM(L165:P165)-I165</f>
        <v/>
      </c>
    </row>
    <row r="166">
      <c r="A166" s="2" t="inlineStr">
        <is>
          <t>phoenix-gothard</t>
        </is>
      </c>
      <c r="B166" s="2" t="inlineStr">
        <is>
          <t>Phoenix Gothard</t>
        </is>
      </c>
      <c r="C166" s="2" t="inlineStr">
        <is>
          <t>GWS</t>
        </is>
      </c>
      <c r="D166" s="2" t="inlineStr">
        <is>
          <t>SF</t>
        </is>
      </c>
      <c r="E166" s="2" t="n">
        <v>21</v>
      </c>
      <c r="F166" s="2" t="inlineStr">
        <is>
          <t>National pick 12</t>
        </is>
      </c>
      <c r="G166" s="3" t="n">
        <v>1821</v>
      </c>
      <c r="H166" s="3" t="n">
        <v>1574</v>
      </c>
      <c r="I166" s="3">
        <f>H166-G166</f>
        <v/>
      </c>
      <c r="J166" s="4">
        <f>IF(G166=0,"",(H166-G166)/G166)</f>
        <v/>
      </c>
      <c r="K166" s="4">
        <f>IF(G166=0,"",(H166-G166*0.891738)/(G166*0.891738))</f>
        <v/>
      </c>
      <c r="L166" s="3" t="n">
        <v>-56</v>
      </c>
      <c r="M166" s="3" t="n">
        <v>0</v>
      </c>
      <c r="N166" s="3" t="n">
        <v>-191</v>
      </c>
      <c r="O166" s="3" t="n">
        <v>0</v>
      </c>
      <c r="P166" s="3" t="n">
        <v>0</v>
      </c>
      <c r="Q166" s="3">
        <f>SUM(L166:P166)-I166</f>
        <v/>
      </c>
    </row>
    <row r="167">
      <c r="A167" s="2" t="inlineStr">
        <is>
          <t>jack-steele</t>
        </is>
      </c>
      <c r="B167" s="2" t="inlineStr">
        <is>
          <t>Jack Steele</t>
        </is>
      </c>
      <c r="C167" s="2" t="inlineStr">
        <is>
          <t>Melbourne</t>
        </is>
      </c>
      <c r="D167" s="2" t="inlineStr">
        <is>
          <t>MID</t>
        </is>
      </c>
      <c r="E167" s="2" t="n">
        <v>31</v>
      </c>
      <c r="F167" s="2" t="inlineStr">
        <is>
          <t>National pick 21</t>
        </is>
      </c>
      <c r="G167" s="3" t="n">
        <v>1275</v>
      </c>
      <c r="H167" s="3" t="n">
        <v>1120</v>
      </c>
      <c r="I167" s="3">
        <f>H167-G167</f>
        <v/>
      </c>
      <c r="J167" s="4">
        <f>IF(G167=0,"",(H167-G167)/G167)</f>
        <v/>
      </c>
      <c r="K167" s="4">
        <f>IF(G167=0,"",(H167-G167*0.891738)/(G167*0.891738))</f>
        <v/>
      </c>
      <c r="L167" s="3" t="n">
        <v>-18</v>
      </c>
      <c r="M167" s="3" t="n">
        <v>0</v>
      </c>
      <c r="N167" s="3" t="n">
        <v>-137</v>
      </c>
      <c r="O167" s="3" t="n">
        <v>0</v>
      </c>
      <c r="P167" s="3" t="n">
        <v>0</v>
      </c>
      <c r="Q167" s="3">
        <f>SUM(L167:P167)-I167</f>
        <v/>
      </c>
    </row>
    <row r="168">
      <c r="A168" s="2" t="inlineStr">
        <is>
          <t>jai-murray</t>
        </is>
      </c>
      <c r="B168" s="2" t="inlineStr">
        <is>
          <t>Jai Murray</t>
        </is>
      </c>
      <c r="C168" s="2" t="inlineStr">
        <is>
          <t>Gold Coast</t>
        </is>
      </c>
      <c r="D168" s="2" t="inlineStr">
        <is>
          <t>MID</t>
        </is>
      </c>
      <c r="E168" s="2" t="n">
        <v>19</v>
      </c>
      <c r="F168" s="2" t="inlineStr">
        <is>
          <t>National pick 17</t>
        </is>
      </c>
      <c r="G168" s="3" t="n">
        <v>1189</v>
      </c>
      <c r="H168" s="3" t="n">
        <v>868</v>
      </c>
      <c r="I168" s="3">
        <f>H168-G168</f>
        <v/>
      </c>
      <c r="J168" s="4">
        <f>IF(G168=0,"",(H168-G168)/G168)</f>
        <v/>
      </c>
      <c r="K168" s="4">
        <f>IF(G168=0,"",(H168-G168*0.891738)/(G168*0.891738))</f>
        <v/>
      </c>
      <c r="L168" s="3" t="n">
        <v>-217</v>
      </c>
      <c r="M168" s="3" t="n">
        <v>0</v>
      </c>
      <c r="N168" s="3" t="n">
        <v>-104</v>
      </c>
      <c r="O168" s="3" t="n">
        <v>0</v>
      </c>
      <c r="P168" s="3" t="n">
        <v>0</v>
      </c>
      <c r="Q168" s="3">
        <f>SUM(L168:P168)-I168</f>
        <v/>
      </c>
    </row>
    <row r="169">
      <c r="A169" s="2" t="inlineStr">
        <is>
          <t>luke-ryan</t>
        </is>
      </c>
      <c r="B169" s="2" t="inlineStr">
        <is>
          <t>Luke Ryan</t>
        </is>
      </c>
      <c r="C169" s="2" t="inlineStr">
        <is>
          <t>Fremantle</t>
        </is>
      </c>
      <c r="D169" s="2" t="inlineStr">
        <is>
          <t>SD</t>
        </is>
      </c>
      <c r="E169" s="2" t="n">
        <v>30</v>
      </c>
      <c r="F169" s="2" t="inlineStr">
        <is>
          <t>National pick 65</t>
        </is>
      </c>
      <c r="G169" s="3" t="n">
        <v>1412</v>
      </c>
      <c r="H169" s="3" t="n">
        <v>1242</v>
      </c>
      <c r="I169" s="3">
        <f>H169-G169</f>
        <v/>
      </c>
      <c r="J169" s="4">
        <f>IF(G169=0,"",(H169-G169)/G169)</f>
        <v/>
      </c>
      <c r="K169" s="4">
        <f>IF(G169=0,"",(H169-G169*0.891738)/(G169*0.891738))</f>
        <v/>
      </c>
      <c r="L169" s="3" t="n">
        <v>-19</v>
      </c>
      <c r="M169" s="3" t="n">
        <v>0</v>
      </c>
      <c r="N169" s="3" t="n">
        <v>-151</v>
      </c>
      <c r="O169" s="3" t="n">
        <v>0</v>
      </c>
      <c r="P169" s="3" t="n">
        <v>0</v>
      </c>
      <c r="Q169" s="3">
        <f>SUM(L169:P169)-I169</f>
        <v/>
      </c>
    </row>
    <row r="170">
      <c r="A170" s="2" t="inlineStr">
        <is>
          <t>bradley-hill</t>
        </is>
      </c>
      <c r="B170" s="2" t="inlineStr">
        <is>
          <t>Bradley Hill</t>
        </is>
      </c>
      <c r="C170" s="2" t="inlineStr">
        <is>
          <t>St Kilda</t>
        </is>
      </c>
      <c r="D170" s="2" t="inlineStr">
        <is>
          <t>SF</t>
        </is>
      </c>
      <c r="E170" s="2" t="n">
        <v>33</v>
      </c>
      <c r="F170" s="2" t="inlineStr">
        <is>
          <t>National pick 42</t>
        </is>
      </c>
      <c r="G170" s="3" t="n">
        <v>1169</v>
      </c>
      <c r="H170" s="3" t="n">
        <v>1028</v>
      </c>
      <c r="I170" s="3">
        <f>H170-G170</f>
        <v/>
      </c>
      <c r="J170" s="4">
        <f>IF(G170=0,"",(H170-G170)/G170)</f>
        <v/>
      </c>
      <c r="K170" s="4">
        <f>IF(G170=0,"",(H170-G170*0.891738)/(G170*0.891738))</f>
        <v/>
      </c>
      <c r="L170" s="3" t="n">
        <v>-16</v>
      </c>
      <c r="M170" s="3" t="n">
        <v>0</v>
      </c>
      <c r="N170" s="3" t="n">
        <v>-125</v>
      </c>
      <c r="O170" s="3" t="n">
        <v>0</v>
      </c>
      <c r="P170" s="3" t="n">
        <v>0</v>
      </c>
      <c r="Q170" s="3">
        <f>SUM(L170:P170)-I170</f>
        <v/>
      </c>
    </row>
    <row r="171">
      <c r="A171" s="2" t="inlineStr">
        <is>
          <t>thomas-liberatore</t>
        </is>
      </c>
      <c r="B171" s="2" t="inlineStr">
        <is>
          <t>Thomas Liberatore</t>
        </is>
      </c>
      <c r="C171" s="2" t="inlineStr">
        <is>
          <t>Western Bulldogs</t>
        </is>
      </c>
      <c r="D171" s="2" t="inlineStr">
        <is>
          <t>MID</t>
        </is>
      </c>
      <c r="E171" s="2" t="n">
        <v>34</v>
      </c>
      <c r="F171" s="2" t="inlineStr">
        <is>
          <t>National pick 24</t>
        </is>
      </c>
      <c r="G171" s="3" t="n">
        <v>1324</v>
      </c>
      <c r="H171" s="3" t="n">
        <v>1164</v>
      </c>
      <c r="I171" s="3">
        <f>H171-G171</f>
        <v/>
      </c>
      <c r="J171" s="4">
        <f>IF(G171=0,"",(H171-G171)/G171)</f>
        <v/>
      </c>
      <c r="K171" s="4">
        <f>IF(G171=0,"",(H171-G171*0.891738)/(G171*0.891738))</f>
        <v/>
      </c>
      <c r="L171" s="3" t="n">
        <v>-19</v>
      </c>
      <c r="M171" s="3" t="n">
        <v>0</v>
      </c>
      <c r="N171" s="3" t="n">
        <v>-141</v>
      </c>
      <c r="O171" s="3" t="n">
        <v>0</v>
      </c>
      <c r="P171" s="3" t="n">
        <v>0</v>
      </c>
      <c r="Q171" s="3">
        <f>SUM(L171:P171)-I171</f>
        <v/>
      </c>
    </row>
    <row r="172">
      <c r="A172" s="2" t="inlineStr">
        <is>
          <t>darcy-cameron</t>
        </is>
      </c>
      <c r="B172" s="2" t="inlineStr">
        <is>
          <t>Darcy Cameron</t>
        </is>
      </c>
      <c r="C172" s="2" t="inlineStr">
        <is>
          <t>Collingwood</t>
        </is>
      </c>
      <c r="D172" s="2" t="inlineStr">
        <is>
          <t>RUCK</t>
        </is>
      </c>
      <c r="E172" s="2" t="n">
        <v>31</v>
      </c>
      <c r="F172" s="2" t="inlineStr">
        <is>
          <t>National pick 48</t>
        </is>
      </c>
      <c r="G172" s="3" t="n">
        <v>1586</v>
      </c>
      <c r="H172" s="3" t="n">
        <v>1394</v>
      </c>
      <c r="I172" s="3">
        <f>H172-G172</f>
        <v/>
      </c>
      <c r="J172" s="4">
        <f>IF(G172=0,"",(H172-G172)/G172)</f>
        <v/>
      </c>
      <c r="K172" s="4">
        <f>IF(G172=0,"",(H172-G172*0.891738)/(G172*0.891738))</f>
        <v/>
      </c>
      <c r="L172" s="3" t="n">
        <v>-22</v>
      </c>
      <c r="M172" s="3" t="n">
        <v>0</v>
      </c>
      <c r="N172" s="3" t="n">
        <v>-170</v>
      </c>
      <c r="O172" s="3" t="n">
        <v>0</v>
      </c>
      <c r="P172" s="3" t="n">
        <v>0</v>
      </c>
      <c r="Q172" s="3">
        <f>SUM(L172:P172)-I172</f>
        <v/>
      </c>
    </row>
    <row r="173">
      <c r="A173" s="2" t="inlineStr">
        <is>
          <t>will-green</t>
        </is>
      </c>
      <c r="B173" s="2" t="inlineStr">
        <is>
          <t>Will Green</t>
        </is>
      </c>
      <c r="C173" s="2" t="inlineStr">
        <is>
          <t>Sydney</t>
        </is>
      </c>
      <c r="D173" s="2" t="inlineStr">
        <is>
          <t>RUCK</t>
        </is>
      </c>
      <c r="E173" s="2" t="n">
        <v>21</v>
      </c>
      <c r="F173" s="2" t="inlineStr">
        <is>
          <t>National pick 16</t>
        </is>
      </c>
      <c r="G173" s="3" t="n">
        <v>587</v>
      </c>
      <c r="H173" s="3" t="n">
        <v>560</v>
      </c>
      <c r="I173" s="3">
        <f>H173-G173</f>
        <v/>
      </c>
      <c r="J173" s="4">
        <f>IF(G173=0,"",(H173-G173)/G173)</f>
        <v/>
      </c>
      <c r="K173" s="4">
        <f>IF(G173=0,"",(H173-G173*0.891738)/(G173*0.891738))</f>
        <v/>
      </c>
      <c r="L173" s="3" t="n">
        <v>0</v>
      </c>
      <c r="M173" s="3" t="n">
        <v>0</v>
      </c>
      <c r="N173" s="3" t="n">
        <v>-27</v>
      </c>
      <c r="O173" s="3" t="n">
        <v>0</v>
      </c>
      <c r="P173" s="3" t="n">
        <v>0</v>
      </c>
      <c r="Q173" s="3">
        <f>SUM(L173:P173)-I173</f>
        <v/>
      </c>
    </row>
    <row r="174">
      <c r="A174" s="2" t="inlineStr">
        <is>
          <t>lachlan-carmichael</t>
        </is>
      </c>
      <c r="B174" s="2" t="inlineStr">
        <is>
          <t>Lachlan Carmichael</t>
        </is>
      </c>
      <c r="C174" s="2" t="inlineStr">
        <is>
          <t>Western Bulldogs</t>
        </is>
      </c>
      <c r="D174" s="2" t="inlineStr">
        <is>
          <t>SD</t>
        </is>
      </c>
      <c r="E174" s="2" t="n">
        <v>19</v>
      </c>
      <c r="F174" s="2" t="inlineStr">
        <is>
          <t>National pick 21</t>
        </is>
      </c>
      <c r="G174" s="3" t="n">
        <v>563</v>
      </c>
      <c r="H174" s="3" t="n">
        <v>542</v>
      </c>
      <c r="I174" s="3">
        <f>H174-G174</f>
        <v/>
      </c>
      <c r="J174" s="4">
        <f>IF(G174=0,"",(H174-G174)/G174)</f>
        <v/>
      </c>
      <c r="K174" s="4">
        <f>IF(G174=0,"",(H174-G174*0.891738)/(G174*0.891738))</f>
        <v/>
      </c>
      <c r="L174" s="3" t="n">
        <v>0</v>
      </c>
      <c r="M174" s="3" t="n">
        <v>0</v>
      </c>
      <c r="N174" s="3" t="n">
        <v>-21</v>
      </c>
      <c r="O174" s="3" t="n">
        <v>0</v>
      </c>
      <c r="P174" s="3" t="n">
        <v>0</v>
      </c>
      <c r="Q174" s="3">
        <f>SUM(L174:P174)-I174</f>
        <v/>
      </c>
    </row>
    <row r="175">
      <c r="A175" s="2" t="inlineStr">
        <is>
          <t>dan-houston</t>
        </is>
      </c>
      <c r="B175" s="2" t="inlineStr">
        <is>
          <t>Dan Houston</t>
        </is>
      </c>
      <c r="C175" s="2" t="inlineStr">
        <is>
          <t>Collingwood</t>
        </is>
      </c>
      <c r="D175" s="2" t="inlineStr">
        <is>
          <t>SD</t>
        </is>
      </c>
      <c r="E175" s="2" t="n">
        <v>29</v>
      </c>
      <c r="F175" s="2" t="inlineStr">
        <is>
          <t>Rookie pick 30</t>
        </is>
      </c>
      <c r="G175" s="3" t="n">
        <v>1127</v>
      </c>
      <c r="H175" s="3" t="n">
        <v>991</v>
      </c>
      <c r="I175" s="3">
        <f>H175-G175</f>
        <v/>
      </c>
      <c r="J175" s="4">
        <f>IF(G175=0,"",(H175-G175)/G175)</f>
        <v/>
      </c>
      <c r="K175" s="4">
        <f>IF(G175=0,"",(H175-G175*0.891738)/(G175*0.891738))</f>
        <v/>
      </c>
      <c r="L175" s="3" t="n">
        <v>-15</v>
      </c>
      <c r="M175" s="3" t="n">
        <v>0</v>
      </c>
      <c r="N175" s="3" t="n">
        <v>-121</v>
      </c>
      <c r="O175" s="3" t="n">
        <v>0</v>
      </c>
      <c r="P175" s="3" t="n">
        <v>0</v>
      </c>
      <c r="Q175" s="3">
        <f>SUM(L175:P175)-I175</f>
        <v/>
      </c>
    </row>
    <row r="176">
      <c r="A176" s="2" t="inlineStr">
        <is>
          <t>harry-mckay</t>
        </is>
      </c>
      <c r="B176" s="2" t="inlineStr">
        <is>
          <t>Harry McKay</t>
        </is>
      </c>
      <c r="C176" s="2" t="inlineStr">
        <is>
          <t>Carlton</t>
        </is>
      </c>
      <c r="D176" s="2" t="inlineStr">
        <is>
          <t>KPF</t>
        </is>
      </c>
      <c r="E176" s="2" t="n">
        <v>29</v>
      </c>
      <c r="F176" s="2" t="inlineStr">
        <is>
          <t>National pick 10</t>
        </is>
      </c>
      <c r="G176" s="3" t="n">
        <v>1859</v>
      </c>
      <c r="H176" s="3" t="n">
        <v>1570</v>
      </c>
      <c r="I176" s="3">
        <f>H176-G176</f>
        <v/>
      </c>
      <c r="J176" s="4">
        <f>IF(G176=0,"",(H176-G176)/G176)</f>
        <v/>
      </c>
      <c r="K176" s="4">
        <f>IF(G176=0,"",(H176-G176*0.891738)/(G176*0.891738))</f>
        <v/>
      </c>
      <c r="L176" s="3" t="n">
        <v>-27</v>
      </c>
      <c r="M176" s="3" t="n">
        <v>-72</v>
      </c>
      <c r="N176" s="3" t="n">
        <v>-190</v>
      </c>
      <c r="O176" s="3" t="n">
        <v>0</v>
      </c>
      <c r="P176" s="3" t="n">
        <v>0</v>
      </c>
      <c r="Q176" s="3">
        <f>SUM(L176:P176)-I176</f>
        <v/>
      </c>
    </row>
    <row r="177">
      <c r="A177" s="2" t="inlineStr">
        <is>
          <t>jy-simpkin</t>
        </is>
      </c>
      <c r="B177" s="2" t="inlineStr">
        <is>
          <t>Jy Simpkin</t>
        </is>
      </c>
      <c r="C177" s="2" t="inlineStr">
        <is>
          <t>North Melbourne</t>
        </is>
      </c>
      <c r="D177" s="2" t="inlineStr">
        <is>
          <t>MID</t>
        </is>
      </c>
      <c r="E177" s="2" t="n">
        <v>28</v>
      </c>
      <c r="F177" s="2" t="inlineStr">
        <is>
          <t>National pick 12</t>
        </is>
      </c>
      <c r="G177" s="3" t="n">
        <v>1220</v>
      </c>
      <c r="H177" s="3" t="n">
        <v>1073</v>
      </c>
      <c r="I177" s="3">
        <f>H177-G177</f>
        <v/>
      </c>
      <c r="J177" s="4">
        <f>IF(G177=0,"",(H177-G177)/G177)</f>
        <v/>
      </c>
      <c r="K177" s="4">
        <f>IF(G177=0,"",(H177-G177*0.891738)/(G177*0.891738))</f>
        <v/>
      </c>
      <c r="L177" s="3" t="n">
        <v>-17</v>
      </c>
      <c r="M177" s="3" t="n">
        <v>0</v>
      </c>
      <c r="N177" s="3" t="n">
        <v>-130</v>
      </c>
      <c r="O177" s="3" t="n">
        <v>0</v>
      </c>
      <c r="P177" s="3" t="n">
        <v>0</v>
      </c>
      <c r="Q177" s="3">
        <f>SUM(L177:P177)-I177</f>
        <v/>
      </c>
    </row>
    <row r="178">
      <c r="A178" s="2" t="inlineStr">
        <is>
          <t>gryan-miers</t>
        </is>
      </c>
      <c r="B178" s="2" t="inlineStr">
        <is>
          <t>Gryan Miers</t>
        </is>
      </c>
      <c r="C178" s="2" t="inlineStr">
        <is>
          <t>Geelong</t>
        </is>
      </c>
      <c r="D178" s="2" t="inlineStr">
        <is>
          <t>SF</t>
        </is>
      </c>
      <c r="E178" s="2" t="n">
        <v>27</v>
      </c>
      <c r="F178" s="2" t="inlineStr">
        <is>
          <t>National pick 57</t>
        </is>
      </c>
      <c r="G178" s="3" t="n">
        <v>1689</v>
      </c>
      <c r="H178" s="3" t="n">
        <v>1485</v>
      </c>
      <c r="I178" s="3">
        <f>H178-G178</f>
        <v/>
      </c>
      <c r="J178" s="4">
        <f>IF(G178=0,"",(H178-G178)/G178)</f>
        <v/>
      </c>
      <c r="K178" s="4">
        <f>IF(G178=0,"",(H178-G178*0.891738)/(G178*0.891738))</f>
        <v/>
      </c>
      <c r="L178" s="3" t="n">
        <v>-23</v>
      </c>
      <c r="M178" s="3" t="n">
        <v>0</v>
      </c>
      <c r="N178" s="3" t="n">
        <v>-181</v>
      </c>
      <c r="O178" s="3" t="n">
        <v>0</v>
      </c>
      <c r="P178" s="3" t="n">
        <v>0</v>
      </c>
      <c r="Q178" s="3">
        <f>SUM(L178:P178)-I178</f>
        <v/>
      </c>
    </row>
    <row r="179">
      <c r="A179" s="2" t="inlineStr">
        <is>
          <t>joshua-weddle</t>
        </is>
      </c>
      <c r="B179" s="2" t="inlineStr">
        <is>
          <t>Joshua Weddle</t>
        </is>
      </c>
      <c r="C179" s="2" t="inlineStr">
        <is>
          <t>Hawthorn</t>
        </is>
      </c>
      <c r="D179" s="2" t="inlineStr">
        <is>
          <t>SD</t>
        </is>
      </c>
      <c r="E179" s="2" t="n">
        <v>22</v>
      </c>
      <c r="F179" s="2" t="inlineStr">
        <is>
          <t>National pick 18</t>
        </is>
      </c>
      <c r="G179" s="3" t="n">
        <v>1578</v>
      </c>
      <c r="H179" s="3" t="n">
        <v>1354</v>
      </c>
      <c r="I179" s="3">
        <f>H179-G179</f>
        <v/>
      </c>
      <c r="J179" s="4">
        <f>IF(G179=0,"",(H179-G179)/G179)</f>
        <v/>
      </c>
      <c r="K179" s="4">
        <f>IF(G179=0,"",(H179-G179*0.891738)/(G179*0.891738))</f>
        <v/>
      </c>
      <c r="L179" s="3" t="n">
        <v>-59</v>
      </c>
      <c r="M179" s="3" t="n">
        <v>0</v>
      </c>
      <c r="N179" s="3" t="n">
        <v>-165</v>
      </c>
      <c r="O179" s="3" t="n">
        <v>0</v>
      </c>
      <c r="P179" s="3" t="n">
        <v>0</v>
      </c>
      <c r="Q179" s="3">
        <f>SUM(L179:P179)-I179</f>
        <v/>
      </c>
    </row>
    <row r="180">
      <c r="A180" s="2" t="inlineStr">
        <is>
          <t>charlie-curnow</t>
        </is>
      </c>
      <c r="B180" s="2" t="inlineStr">
        <is>
          <t>Charlie Curnow</t>
        </is>
      </c>
      <c r="C180" s="2" t="inlineStr">
        <is>
          <t>Carlton</t>
        </is>
      </c>
      <c r="D180" s="2" t="inlineStr">
        <is>
          <t>KPF</t>
        </is>
      </c>
      <c r="E180" s="2" t="n">
        <v>29</v>
      </c>
      <c r="F180" s="2" t="inlineStr">
        <is>
          <t>National pick 12</t>
        </is>
      </c>
      <c r="G180" s="3" t="n">
        <v>1389</v>
      </c>
      <c r="H180" s="3" t="n">
        <v>1181</v>
      </c>
      <c r="I180" s="3">
        <f>H180-G180</f>
        <v/>
      </c>
      <c r="J180" s="4">
        <f>IF(G180=0,"",(H180-G180)/G180)</f>
        <v/>
      </c>
      <c r="K180" s="4">
        <f>IF(G180=0,"",(H180-G180*0.891738)/(G180*0.891738))</f>
        <v/>
      </c>
      <c r="L180" s="3" t="n">
        <v>-20</v>
      </c>
      <c r="M180" s="3" t="n">
        <v>-44</v>
      </c>
      <c r="N180" s="3" t="n">
        <v>-144</v>
      </c>
      <c r="O180" s="3" t="n">
        <v>0</v>
      </c>
      <c r="P180" s="3" t="n">
        <v>0</v>
      </c>
      <c r="Q180" s="3">
        <f>SUM(L180:P180)-I180</f>
        <v/>
      </c>
    </row>
    <row r="181">
      <c r="A181" s="2" t="inlineStr">
        <is>
          <t>dylan-moore</t>
        </is>
      </c>
      <c r="B181" s="2" t="inlineStr">
        <is>
          <t>Dylan Moore</t>
        </is>
      </c>
      <c r="C181" s="2" t="inlineStr">
        <is>
          <t>Hawthorn</t>
        </is>
      </c>
      <c r="D181" s="2" t="inlineStr">
        <is>
          <t>SF</t>
        </is>
      </c>
      <c r="E181" s="2" t="n">
        <v>27</v>
      </c>
      <c r="F181" s="2" t="inlineStr">
        <is>
          <t>National pick 66</t>
        </is>
      </c>
      <c r="G181" s="3" t="n">
        <v>1174</v>
      </c>
      <c r="H181" s="3" t="n">
        <v>1032</v>
      </c>
      <c r="I181" s="3">
        <f>H181-G181</f>
        <v/>
      </c>
      <c r="J181" s="4">
        <f>IF(G181=0,"",(H181-G181)/G181)</f>
        <v/>
      </c>
      <c r="K181" s="4">
        <f>IF(G181=0,"",(H181-G181*0.891738)/(G181*0.891738))</f>
        <v/>
      </c>
      <c r="L181" s="3" t="n">
        <v>-17</v>
      </c>
      <c r="M181" s="3" t="n">
        <v>0</v>
      </c>
      <c r="N181" s="3" t="n">
        <v>-125</v>
      </c>
      <c r="O181" s="3" t="n">
        <v>0</v>
      </c>
      <c r="P181" s="3" t="n">
        <v>0</v>
      </c>
      <c r="Q181" s="3">
        <f>SUM(L181:P181)-I181</f>
        <v/>
      </c>
    </row>
    <row r="182">
      <c r="A182" s="2" t="inlineStr">
        <is>
          <t>harry-armstrong</t>
        </is>
      </c>
      <c r="B182" s="2" t="inlineStr">
        <is>
          <t>Harry Armstrong</t>
        </is>
      </c>
      <c r="C182" s="2" t="inlineStr">
        <is>
          <t>Richmond</t>
        </is>
      </c>
      <c r="D182" s="2" t="inlineStr">
        <is>
          <t>KPF</t>
        </is>
      </c>
      <c r="E182" s="2" t="n">
        <v>20</v>
      </c>
      <c r="F182" s="2" t="inlineStr">
        <is>
          <t>National pick 23</t>
        </is>
      </c>
      <c r="G182" s="3" t="n">
        <v>804</v>
      </c>
      <c r="H182" s="3" t="n">
        <v>729</v>
      </c>
      <c r="I182" s="3">
        <f>H182-G182</f>
        <v/>
      </c>
      <c r="J182" s="4">
        <f>IF(G182=0,"",(H182-G182)/G182)</f>
        <v/>
      </c>
      <c r="K182" s="4">
        <f>IF(G182=0,"",(H182-G182*0.891738)/(G182*0.891738))</f>
        <v/>
      </c>
      <c r="L182" s="3" t="n">
        <v>13</v>
      </c>
      <c r="M182" s="3" t="n">
        <v>0</v>
      </c>
      <c r="N182" s="3" t="n">
        <v>-88</v>
      </c>
      <c r="O182" s="3" t="n">
        <v>0</v>
      </c>
      <c r="P182" s="3" t="n">
        <v>0</v>
      </c>
      <c r="Q182" s="3">
        <f>SUM(L182:P182)-I182</f>
        <v/>
      </c>
    </row>
    <row r="183">
      <c r="A183" s="2" t="inlineStr">
        <is>
          <t>mitchell-marsh</t>
        </is>
      </c>
      <c r="B183" s="2" t="inlineStr">
        <is>
          <t>Mitchell Marsh</t>
        </is>
      </c>
      <c r="C183" s="2" t="inlineStr">
        <is>
          <t>Adelaide</t>
        </is>
      </c>
      <c r="D183" s="2" t="inlineStr">
        <is>
          <t>KPF</t>
        </is>
      </c>
      <c r="E183" s="2" t="n">
        <v>19</v>
      </c>
      <c r="F183" s="2" t="inlineStr">
        <is>
          <t>National pick 22</t>
        </is>
      </c>
      <c r="G183" s="3" t="n">
        <v>518</v>
      </c>
      <c r="H183" s="3" t="n">
        <v>497</v>
      </c>
      <c r="I183" s="3">
        <f>H183-G183</f>
        <v/>
      </c>
      <c r="J183" s="4">
        <f>IF(G183=0,"",(H183-G183)/G183)</f>
        <v/>
      </c>
      <c r="K183" s="4">
        <f>IF(G183=0,"",(H183-G183*0.891738)/(G183*0.891738))</f>
        <v/>
      </c>
      <c r="L183" s="3" t="n">
        <v>0</v>
      </c>
      <c r="M183" s="3" t="n">
        <v>0</v>
      </c>
      <c r="N183" s="3" t="n">
        <v>-21</v>
      </c>
      <c r="O183" s="3" t="n">
        <v>0</v>
      </c>
      <c r="P183" s="3" t="n">
        <v>0</v>
      </c>
      <c r="Q183" s="3">
        <f>SUM(L183:P183)-I183</f>
        <v/>
      </c>
    </row>
    <row r="184">
      <c r="A184" s="2" t="inlineStr">
        <is>
          <t>joe-berry</t>
        </is>
      </c>
      <c r="B184" s="2" t="inlineStr">
        <is>
          <t>Joe Berry</t>
        </is>
      </c>
      <c r="C184" s="2" t="inlineStr">
        <is>
          <t>Port Adelaide</t>
        </is>
      </c>
      <c r="D184" s="2" t="inlineStr">
        <is>
          <t>SF</t>
        </is>
      </c>
      <c r="E184" s="2" t="n">
        <v>20</v>
      </c>
      <c r="F184" s="2" t="inlineStr">
        <is>
          <t>National pick 15</t>
        </is>
      </c>
      <c r="G184" s="3" t="n">
        <v>1102</v>
      </c>
      <c r="H184" s="3" t="n">
        <v>841</v>
      </c>
      <c r="I184" s="3">
        <f>H184-G184</f>
        <v/>
      </c>
      <c r="J184" s="4">
        <f>IF(G184=0,"",(H184-G184)/G184)</f>
        <v/>
      </c>
      <c r="K184" s="4">
        <f>IF(G184=0,"",(H184-G184*0.891738)/(G184*0.891738))</f>
        <v/>
      </c>
      <c r="L184" s="3" t="n">
        <v>-158</v>
      </c>
      <c r="M184" s="3" t="n">
        <v>0</v>
      </c>
      <c r="N184" s="3" t="n">
        <v>-103</v>
      </c>
      <c r="O184" s="3" t="n">
        <v>0</v>
      </c>
      <c r="P184" s="3" t="n">
        <v>0</v>
      </c>
      <c r="Q184" s="3">
        <f>SUM(L184:P184)-I184</f>
        <v/>
      </c>
    </row>
    <row r="185">
      <c r="A185" s="2" t="inlineStr">
        <is>
          <t>mattaes-phillipou</t>
        </is>
      </c>
      <c r="B185" s="2" t="inlineStr">
        <is>
          <t>Mattaes Phillipou</t>
        </is>
      </c>
      <c r="C185" s="2" t="inlineStr">
        <is>
          <t>St Kilda</t>
        </is>
      </c>
      <c r="D185" s="2" t="inlineStr">
        <is>
          <t>MID</t>
        </is>
      </c>
      <c r="E185" s="2" t="n">
        <v>22</v>
      </c>
      <c r="F185" s="2" t="inlineStr">
        <is>
          <t>National pick 10</t>
        </is>
      </c>
      <c r="G185" s="3" t="n">
        <v>2298</v>
      </c>
      <c r="H185" s="3" t="n">
        <v>1922</v>
      </c>
      <c r="I185" s="3">
        <f>H185-G185</f>
        <v/>
      </c>
      <c r="J185" s="4">
        <f>IF(G185=0,"",(H185-G185)/G185)</f>
        <v/>
      </c>
      <c r="K185" s="4">
        <f>IF(G185=0,"",(H185-G185*0.891738)/(G185*0.891738))</f>
        <v/>
      </c>
      <c r="L185" s="3" t="n">
        <v>-142</v>
      </c>
      <c r="M185" s="3" t="n">
        <v>0</v>
      </c>
      <c r="N185" s="3" t="n">
        <v>-234</v>
      </c>
      <c r="O185" s="3" t="n">
        <v>0</v>
      </c>
      <c r="P185" s="3" t="n">
        <v>0</v>
      </c>
      <c r="Q185" s="3">
        <f>SUM(L185:P185)-I185</f>
        <v/>
      </c>
    </row>
    <row r="186">
      <c r="A186" s="2" t="inlineStr">
        <is>
          <t>aidan-schubert</t>
        </is>
      </c>
      <c r="B186" s="2" t="inlineStr">
        <is>
          <t>Aidan Schubert</t>
        </is>
      </c>
      <c r="C186" s="2" t="inlineStr">
        <is>
          <t>Hawthorn</t>
        </is>
      </c>
      <c r="D186" s="2" t="inlineStr">
        <is>
          <t>KPF</t>
        </is>
      </c>
      <c r="E186" s="2" t="n">
        <v>19</v>
      </c>
      <c r="F186" s="2" t="inlineStr">
        <is>
          <t>National pick 23</t>
        </is>
      </c>
      <c r="G186" s="3" t="n">
        <v>521</v>
      </c>
      <c r="H186" s="3" t="n">
        <v>473</v>
      </c>
      <c r="I186" s="3">
        <f>H186-G186</f>
        <v/>
      </c>
      <c r="J186" s="4">
        <f>IF(G186=0,"",(H186-G186)/G186)</f>
        <v/>
      </c>
      <c r="K186" s="4">
        <f>IF(G186=0,"",(H186-G186*0.891738)/(G186*0.891738))</f>
        <v/>
      </c>
      <c r="L186" s="3" t="n">
        <v>31</v>
      </c>
      <c r="M186" s="3" t="n">
        <v>0</v>
      </c>
      <c r="N186" s="3" t="n">
        <v>-33</v>
      </c>
      <c r="O186" s="3" t="n">
        <v>-20</v>
      </c>
      <c r="P186" s="3" t="n">
        <v>-26</v>
      </c>
      <c r="Q186" s="3">
        <f>SUM(L186:P186)-I186</f>
        <v/>
      </c>
    </row>
    <row r="187">
      <c r="A187" s="2" t="inlineStr">
        <is>
          <t>thomas-stewart</t>
        </is>
      </c>
      <c r="B187" s="2" t="inlineStr">
        <is>
          <t>Thomas Stewart</t>
        </is>
      </c>
      <c r="C187" s="2" t="inlineStr">
        <is>
          <t>Geelong</t>
        </is>
      </c>
      <c r="D187" s="2" t="inlineStr">
        <is>
          <t>SD</t>
        </is>
      </c>
      <c r="E187" s="2" t="n">
        <v>33</v>
      </c>
      <c r="F187" s="2" t="inlineStr">
        <is>
          <t>National pick 40</t>
        </is>
      </c>
      <c r="G187" s="3" t="n">
        <v>1085</v>
      </c>
      <c r="H187" s="3" t="n">
        <v>955</v>
      </c>
      <c r="I187" s="3">
        <f>H187-G187</f>
        <v/>
      </c>
      <c r="J187" s="4">
        <f>IF(G187=0,"",(H187-G187)/G187)</f>
        <v/>
      </c>
      <c r="K187" s="4">
        <f>IF(G187=0,"",(H187-G187*0.891738)/(G187*0.891738))</f>
        <v/>
      </c>
      <c r="L187" s="3" t="n">
        <v>-14</v>
      </c>
      <c r="M187" s="3" t="n">
        <v>0</v>
      </c>
      <c r="N187" s="3" t="n">
        <v>-116</v>
      </c>
      <c r="O187" s="3" t="n">
        <v>0</v>
      </c>
      <c r="P187" s="3" t="n">
        <v>0</v>
      </c>
      <c r="Q187" s="3">
        <f>SUM(L187:P187)-I187</f>
        <v/>
      </c>
    </row>
    <row r="188">
      <c r="A188" s="2" t="inlineStr">
        <is>
          <t>hayden-young</t>
        </is>
      </c>
      <c r="B188" s="2" t="inlineStr">
        <is>
          <t>Hayden Young</t>
        </is>
      </c>
      <c r="C188" s="2" t="inlineStr">
        <is>
          <t>Fremantle</t>
        </is>
      </c>
      <c r="D188" s="2" t="inlineStr">
        <is>
          <t>MID</t>
        </is>
      </c>
      <c r="E188" s="2" t="n">
        <v>25</v>
      </c>
      <c r="F188" s="2" t="inlineStr">
        <is>
          <t>National pick 7</t>
        </is>
      </c>
      <c r="G188" s="3" t="n">
        <v>1815</v>
      </c>
      <c r="H188" s="3" t="n">
        <v>1595</v>
      </c>
      <c r="I188" s="3">
        <f>H188-G188</f>
        <v/>
      </c>
      <c r="J188" s="4">
        <f>IF(G188=0,"",(H188-G188)/G188)</f>
        <v/>
      </c>
      <c r="K188" s="4">
        <f>IF(G188=0,"",(H188-G188*0.891738)/(G188*0.891738))</f>
        <v/>
      </c>
      <c r="L188" s="3" t="n">
        <v>-26</v>
      </c>
      <c r="M188" s="3" t="n">
        <v>0</v>
      </c>
      <c r="N188" s="3" t="n">
        <v>-194</v>
      </c>
      <c r="O188" s="3" t="n">
        <v>0</v>
      </c>
      <c r="P188" s="3" t="n">
        <v>0</v>
      </c>
      <c r="Q188" s="3">
        <f>SUM(L188:P188)-I188</f>
        <v/>
      </c>
    </row>
    <row r="189">
      <c r="A189" s="2" t="inlineStr">
        <is>
          <t>patrick-voss</t>
        </is>
      </c>
      <c r="B189" s="2" t="inlineStr">
        <is>
          <t>Patrick Voss</t>
        </is>
      </c>
      <c r="C189" s="2" t="inlineStr">
        <is>
          <t>Fremantle</t>
        </is>
      </c>
      <c r="D189" s="2" t="inlineStr">
        <is>
          <t>KPF</t>
        </is>
      </c>
      <c r="E189" s="2" t="n">
        <v>23</v>
      </c>
      <c r="F189" s="2" t="inlineStr">
        <is>
          <t>Rookie pick 5</t>
        </is>
      </c>
      <c r="G189" s="3" t="n">
        <v>1493</v>
      </c>
      <c r="H189" s="3" t="n">
        <v>1178</v>
      </c>
      <c r="I189" s="3">
        <f>H189-G189</f>
        <v/>
      </c>
      <c r="J189" s="4">
        <f>IF(G189=0,"",(H189-G189)/G189)</f>
        <v/>
      </c>
      <c r="K189" s="4">
        <f>IF(G189=0,"",(H189-G189*0.891738)/(G189*0.891738))</f>
        <v/>
      </c>
      <c r="L189" s="3" t="n">
        <v>-172</v>
      </c>
      <c r="M189" s="3" t="n">
        <v>0</v>
      </c>
      <c r="N189" s="3" t="n">
        <v>-143</v>
      </c>
      <c r="O189" s="3" t="n">
        <v>0</v>
      </c>
      <c r="P189" s="3" t="n">
        <v>0</v>
      </c>
      <c r="Q189" s="3">
        <f>SUM(L189:P189)-I189</f>
        <v/>
      </c>
    </row>
    <row r="190">
      <c r="A190" s="2" t="inlineStr">
        <is>
          <t>mason-redman</t>
        </is>
      </c>
      <c r="B190" s="2" t="inlineStr">
        <is>
          <t>Mason Redman</t>
        </is>
      </c>
      <c r="C190" s="2" t="inlineStr">
        <is>
          <t>Essendon</t>
        </is>
      </c>
      <c r="D190" s="2" t="inlineStr">
        <is>
          <t>SD</t>
        </is>
      </c>
      <c r="E190" s="2" t="n">
        <v>29</v>
      </c>
      <c r="F190" s="2" t="inlineStr">
        <is>
          <t>National pick 30</t>
        </is>
      </c>
      <c r="G190" s="3" t="n">
        <v>1352</v>
      </c>
      <c r="H190" s="3" t="n">
        <v>1189</v>
      </c>
      <c r="I190" s="3">
        <f>H190-G190</f>
        <v/>
      </c>
      <c r="J190" s="4">
        <f>IF(G190=0,"",(H190-G190)/G190)</f>
        <v/>
      </c>
      <c r="K190" s="4">
        <f>IF(G190=0,"",(H190-G190*0.891738)/(G190*0.891738))</f>
        <v/>
      </c>
      <c r="L190" s="3" t="n">
        <v>-18</v>
      </c>
      <c r="M190" s="3" t="n">
        <v>0</v>
      </c>
      <c r="N190" s="3" t="n">
        <v>-145</v>
      </c>
      <c r="O190" s="3" t="n">
        <v>0</v>
      </c>
      <c r="P190" s="3" t="n">
        <v>0</v>
      </c>
      <c r="Q190" s="3">
        <f>SUM(L190:P190)-I190</f>
        <v/>
      </c>
    </row>
    <row r="191">
      <c r="A191" s="2" t="inlineStr">
        <is>
          <t>brent-daniels</t>
        </is>
      </c>
      <c r="B191" s="2" t="inlineStr">
        <is>
          <t>Brent Daniels</t>
        </is>
      </c>
      <c r="C191" s="2" t="inlineStr">
        <is>
          <t>GWS</t>
        </is>
      </c>
      <c r="D191" s="2" t="inlineStr">
        <is>
          <t>SF</t>
        </is>
      </c>
      <c r="E191" s="2" t="n">
        <v>27</v>
      </c>
      <c r="F191" s="2" t="inlineStr">
        <is>
          <t>National pick 27</t>
        </is>
      </c>
      <c r="G191" s="3" t="n">
        <v>1212</v>
      </c>
      <c r="H191" s="3" t="n">
        <v>1067</v>
      </c>
      <c r="I191" s="3">
        <f>H191-G191</f>
        <v/>
      </c>
      <c r="J191" s="4">
        <f>IF(G191=0,"",(H191-G191)/G191)</f>
        <v/>
      </c>
      <c r="K191" s="4">
        <f>IF(G191=0,"",(H191-G191*0.891738)/(G191*0.891738))</f>
        <v/>
      </c>
      <c r="L191" s="3" t="n">
        <v>-16</v>
      </c>
      <c r="M191" s="3" t="n">
        <v>0</v>
      </c>
      <c r="N191" s="3" t="n">
        <v>-129</v>
      </c>
      <c r="O191" s="3" t="n">
        <v>0</v>
      </c>
      <c r="P191" s="3" t="n">
        <v>0</v>
      </c>
      <c r="Q191" s="3">
        <f>SUM(L191:P191)-I191</f>
        <v/>
      </c>
    </row>
    <row r="192">
      <c r="A192" s="2" t="inlineStr">
        <is>
          <t>cameron-nairn</t>
        </is>
      </c>
      <c r="B192" s="2" t="inlineStr">
        <is>
          <t>Cameron Nairn</t>
        </is>
      </c>
      <c r="C192" s="2" t="inlineStr">
        <is>
          <t>Hawthorn</t>
        </is>
      </c>
      <c r="D192" s="2" t="inlineStr">
        <is>
          <t>SF</t>
        </is>
      </c>
      <c r="E192" s="2" t="n">
        <v>19</v>
      </c>
      <c r="F192" s="2" t="inlineStr">
        <is>
          <t>National pick 20</t>
        </is>
      </c>
      <c r="G192" s="3" t="n">
        <v>634</v>
      </c>
      <c r="H192" s="3" t="n">
        <v>471</v>
      </c>
      <c r="I192" s="3">
        <f>H192-G192</f>
        <v/>
      </c>
      <c r="J192" s="4">
        <f>IF(G192=0,"",(H192-G192)/G192)</f>
        <v/>
      </c>
      <c r="K192" s="4">
        <f>IF(G192=0,"",(H192-G192*0.891738)/(G192*0.891738))</f>
        <v/>
      </c>
      <c r="L192" s="3" t="n">
        <v>-179</v>
      </c>
      <c r="M192" s="3" t="n">
        <v>0</v>
      </c>
      <c r="N192" s="3" t="n">
        <v>-31</v>
      </c>
      <c r="O192" s="3" t="n">
        <v>20</v>
      </c>
      <c r="P192" s="3" t="n">
        <v>27</v>
      </c>
      <c r="Q192" s="3">
        <f>SUM(L192:P192)-I192</f>
        <v/>
      </c>
    </row>
    <row r="193">
      <c r="A193" s="2" t="inlineStr">
        <is>
          <t>jobe-shanahan</t>
        </is>
      </c>
      <c r="B193" s="2" t="inlineStr">
        <is>
          <t>Jobe Shanahan</t>
        </is>
      </c>
      <c r="C193" s="2" t="inlineStr">
        <is>
          <t>West Coast</t>
        </is>
      </c>
      <c r="D193" s="2" t="inlineStr">
        <is>
          <t>KPF</t>
        </is>
      </c>
      <c r="E193" s="2" t="n">
        <v>20</v>
      </c>
      <c r="F193" s="2" t="inlineStr">
        <is>
          <t>National pick 30</t>
        </is>
      </c>
      <c r="G193" s="3" t="n">
        <v>1769</v>
      </c>
      <c r="H193" s="3" t="n">
        <v>1404</v>
      </c>
      <c r="I193" s="3">
        <f>H193-G193</f>
        <v/>
      </c>
      <c r="J193" s="4">
        <f>IF(G193=0,"",(H193-G193)/G193)</f>
        <v/>
      </c>
      <c r="K193" s="4">
        <f>IF(G193=0,"",(H193-G193*0.891738)/(G193*0.891738))</f>
        <v/>
      </c>
      <c r="L193" s="3" t="n">
        <v>-195</v>
      </c>
      <c r="M193" s="3" t="n">
        <v>0</v>
      </c>
      <c r="N193" s="3" t="n">
        <v>-170</v>
      </c>
      <c r="O193" s="3" t="n">
        <v>0</v>
      </c>
      <c r="P193" s="3" t="n">
        <v>0</v>
      </c>
      <c r="Q193" s="3">
        <f>SUM(L193:P193)-I193</f>
        <v/>
      </c>
    </row>
    <row r="194">
      <c r="A194" s="2" t="inlineStr">
        <is>
          <t>trent-rivers</t>
        </is>
      </c>
      <c r="B194" s="2" t="inlineStr">
        <is>
          <t>Trent Rivers</t>
        </is>
      </c>
      <c r="C194" s="2" t="inlineStr">
        <is>
          <t>Melbourne</t>
        </is>
      </c>
      <c r="D194" s="2" t="inlineStr">
        <is>
          <t>SD</t>
        </is>
      </c>
      <c r="E194" s="2" t="n">
        <v>25</v>
      </c>
      <c r="F194" s="2" t="inlineStr">
        <is>
          <t>National pick 32</t>
        </is>
      </c>
      <c r="G194" s="3" t="n">
        <v>1841</v>
      </c>
      <c r="H194" s="3" t="n">
        <v>1619</v>
      </c>
      <c r="I194" s="3">
        <f>H194-G194</f>
        <v/>
      </c>
      <c r="J194" s="4">
        <f>IF(G194=0,"",(H194-G194)/G194)</f>
        <v/>
      </c>
      <c r="K194" s="4">
        <f>IF(G194=0,"",(H194-G194*0.891738)/(G194*0.891738))</f>
        <v/>
      </c>
      <c r="L194" s="3" t="n">
        <v>-25</v>
      </c>
      <c r="M194" s="3" t="n">
        <v>0</v>
      </c>
      <c r="N194" s="3" t="n">
        <v>-197</v>
      </c>
      <c r="O194" s="3" t="n">
        <v>0</v>
      </c>
      <c r="P194" s="3" t="n">
        <v>0</v>
      </c>
      <c r="Q194" s="3">
        <f>SUM(L194:P194)-I194</f>
        <v/>
      </c>
    </row>
    <row r="195">
      <c r="A195" s="2" t="inlineStr">
        <is>
          <t>josh-dunkley</t>
        </is>
      </c>
      <c r="B195" s="2" t="inlineStr">
        <is>
          <t>Josh Dunkley</t>
        </is>
      </c>
      <c r="C195" s="2" t="inlineStr">
        <is>
          <t>Brisbane</t>
        </is>
      </c>
      <c r="D195" s="2" t="inlineStr">
        <is>
          <t>MID</t>
        </is>
      </c>
      <c r="E195" s="2" t="n">
        <v>29</v>
      </c>
      <c r="F195" s="2" t="inlineStr">
        <is>
          <t>National pick 25</t>
        </is>
      </c>
      <c r="G195" s="3" t="n">
        <v>1173</v>
      </c>
      <c r="H195" s="3" t="n">
        <v>1032</v>
      </c>
      <c r="I195" s="3">
        <f>H195-G195</f>
        <v/>
      </c>
      <c r="J195" s="4">
        <f>IF(G195=0,"",(H195-G195)/G195)</f>
        <v/>
      </c>
      <c r="K195" s="4">
        <f>IF(G195=0,"",(H195-G195*0.891738)/(G195*0.891738))</f>
        <v/>
      </c>
      <c r="L195" s="3" t="n">
        <v>-16</v>
      </c>
      <c r="M195" s="3" t="n">
        <v>0</v>
      </c>
      <c r="N195" s="3" t="n">
        <v>-125</v>
      </c>
      <c r="O195" s="3" t="n">
        <v>0</v>
      </c>
      <c r="P195" s="3" t="n">
        <v>0</v>
      </c>
      <c r="Q195" s="3">
        <f>SUM(L195:P195)-I195</f>
        <v/>
      </c>
    </row>
    <row r="196">
      <c r="A196" s="2" t="inlineStr">
        <is>
          <t>harrison-oliver</t>
        </is>
      </c>
      <c r="B196" s="2" t="inlineStr">
        <is>
          <t>Harrison Oliver</t>
        </is>
      </c>
      <c r="C196" s="2" t="inlineStr">
        <is>
          <t>GWS</t>
        </is>
      </c>
      <c r="D196" s="2" t="inlineStr">
        <is>
          <t>SD</t>
        </is>
      </c>
      <c r="E196" s="2" t="n">
        <v>20</v>
      </c>
      <c r="F196" s="2" t="inlineStr">
        <is>
          <t>National pick 19</t>
        </is>
      </c>
      <c r="G196" s="3" t="n">
        <v>588</v>
      </c>
      <c r="H196" s="3" t="n">
        <v>440</v>
      </c>
      <c r="I196" s="3">
        <f>H196-G196</f>
        <v/>
      </c>
      <c r="J196" s="4">
        <f>IF(G196=0,"",(H196-G196)/G196)</f>
        <v/>
      </c>
      <c r="K196" s="4">
        <f>IF(G196=0,"",(H196-G196*0.891738)/(G196*0.891738))</f>
        <v/>
      </c>
      <c r="L196" s="3" t="n">
        <v>-95</v>
      </c>
      <c r="M196" s="3" t="n">
        <v>0</v>
      </c>
      <c r="N196" s="3" t="n">
        <v>-52</v>
      </c>
      <c r="O196" s="3" t="n">
        <v>-1</v>
      </c>
      <c r="P196" s="3" t="n">
        <v>0</v>
      </c>
      <c r="Q196" s="3">
        <f>SUM(L196:P196)-I196</f>
        <v/>
      </c>
    </row>
    <row r="197">
      <c r="A197" s="2" t="inlineStr">
        <is>
          <t>louis-emmett</t>
        </is>
      </c>
      <c r="B197" s="2" t="inlineStr">
        <is>
          <t>Louis Emmett</t>
        </is>
      </c>
      <c r="C197" s="2" t="inlineStr">
        <is>
          <t>Western Bulldogs</t>
        </is>
      </c>
      <c r="D197" s="2" t="inlineStr">
        <is>
          <t>KPF</t>
        </is>
      </c>
      <c r="E197" s="2" t="n">
        <v>19</v>
      </c>
      <c r="F197" s="2" t="inlineStr">
        <is>
          <t>National pick 27</t>
        </is>
      </c>
      <c r="G197" s="3" t="n">
        <v>773</v>
      </c>
      <c r="H197" s="3" t="n">
        <v>619</v>
      </c>
      <c r="I197" s="3">
        <f>H197-G197</f>
        <v/>
      </c>
      <c r="J197" s="4">
        <f>IF(G197=0,"",(H197-G197)/G197)</f>
        <v/>
      </c>
      <c r="K197" s="4">
        <f>IF(G197=0,"",(H197-G197*0.891738)/(G197*0.891738))</f>
        <v/>
      </c>
      <c r="L197" s="3" t="n">
        <v>-79</v>
      </c>
      <c r="M197" s="3" t="n">
        <v>0</v>
      </c>
      <c r="N197" s="3" t="n">
        <v>-75</v>
      </c>
      <c r="O197" s="3" t="n">
        <v>0</v>
      </c>
      <c r="P197" s="3" t="n">
        <v>0</v>
      </c>
      <c r="Q197" s="3">
        <f>SUM(L197:P197)-I197</f>
        <v/>
      </c>
    </row>
    <row r="198">
      <c r="A198" s="2" t="inlineStr">
        <is>
          <t>cooper-hynes</t>
        </is>
      </c>
      <c r="B198" s="2" t="inlineStr">
        <is>
          <t>Cooper Hynes</t>
        </is>
      </c>
      <c r="C198" s="2" t="inlineStr">
        <is>
          <t>Western Bulldogs</t>
        </is>
      </c>
      <c r="D198" s="2" t="inlineStr">
        <is>
          <t>MID</t>
        </is>
      </c>
      <c r="E198" s="2" t="n">
        <v>20</v>
      </c>
      <c r="F198" s="2" t="inlineStr">
        <is>
          <t>National pick 20</t>
        </is>
      </c>
      <c r="G198" s="3" t="n">
        <v>1382</v>
      </c>
      <c r="H198" s="3" t="n">
        <v>1119</v>
      </c>
      <c r="I198" s="3">
        <f>H198-G198</f>
        <v/>
      </c>
      <c r="J198" s="4">
        <f>IF(G198=0,"",(H198-G198)/G198)</f>
        <v/>
      </c>
      <c r="K198" s="4">
        <f>IF(G198=0,"",(H198-G198*0.891738)/(G198*0.891738))</f>
        <v/>
      </c>
      <c r="L198" s="3" t="n">
        <v>-127</v>
      </c>
      <c r="M198" s="3" t="n">
        <v>0</v>
      </c>
      <c r="N198" s="3" t="n">
        <v>-136</v>
      </c>
      <c r="O198" s="3" t="n">
        <v>0</v>
      </c>
      <c r="P198" s="3" t="n">
        <v>0</v>
      </c>
      <c r="Q198" s="3">
        <f>SUM(L198:P198)-I198</f>
        <v/>
      </c>
    </row>
    <row r="199">
      <c r="A199" s="2" t="inlineStr">
        <is>
          <t>jarman-impey</t>
        </is>
      </c>
      <c r="B199" s="2" t="inlineStr">
        <is>
          <t>Jarman Impey</t>
        </is>
      </c>
      <c r="C199" s="2" t="inlineStr">
        <is>
          <t>Hawthorn</t>
        </is>
      </c>
      <c r="D199" s="2" t="inlineStr">
        <is>
          <t>SD</t>
        </is>
      </c>
      <c r="E199" s="2" t="n">
        <v>31</v>
      </c>
      <c r="F199" s="2" t="inlineStr">
        <is>
          <t>National pick 21</t>
        </is>
      </c>
      <c r="G199" s="3" t="n">
        <v>987</v>
      </c>
      <c r="H199" s="3" t="n">
        <v>868</v>
      </c>
      <c r="I199" s="3">
        <f>H199-G199</f>
        <v/>
      </c>
      <c r="J199" s="4">
        <f>IF(G199=0,"",(H199-G199)/G199)</f>
        <v/>
      </c>
      <c r="K199" s="4">
        <f>IF(G199=0,"",(H199-G199*0.891738)/(G199*0.891738))</f>
        <v/>
      </c>
      <c r="L199" s="3" t="n">
        <v>-13</v>
      </c>
      <c r="M199" s="3" t="n">
        <v>0</v>
      </c>
      <c r="N199" s="3" t="n">
        <v>-106</v>
      </c>
      <c r="O199" s="3" t="n">
        <v>0</v>
      </c>
      <c r="P199" s="3" t="n">
        <v>0</v>
      </c>
      <c r="Q199" s="3">
        <f>SUM(L199:P199)-I199</f>
        <v/>
      </c>
    </row>
    <row r="200">
      <c r="A200" s="2" t="inlineStr">
        <is>
          <t>adam-treloar</t>
        </is>
      </c>
      <c r="B200" s="2" t="inlineStr">
        <is>
          <t>Adam Treloar</t>
        </is>
      </c>
      <c r="C200" s="2" t="inlineStr">
        <is>
          <t>Western Bulldogs</t>
        </is>
      </c>
      <c r="D200" s="2" t="inlineStr">
        <is>
          <t>SF</t>
        </is>
      </c>
      <c r="E200" s="2" t="n">
        <v>33</v>
      </c>
      <c r="F200" s="2" t="inlineStr">
        <is>
          <t>National pick 14</t>
        </is>
      </c>
      <c r="G200" s="3" t="n">
        <v>935</v>
      </c>
      <c r="H200" s="3" t="n">
        <v>822</v>
      </c>
      <c r="I200" s="3">
        <f>H200-G200</f>
        <v/>
      </c>
      <c r="J200" s="4">
        <f>IF(G200=0,"",(H200-G200)/G200)</f>
        <v/>
      </c>
      <c r="K200" s="4">
        <f>IF(G200=0,"",(H200-G200*0.891738)/(G200*0.891738))</f>
        <v/>
      </c>
      <c r="L200" s="3" t="n">
        <v>-13</v>
      </c>
      <c r="M200" s="3" t="n">
        <v>0</v>
      </c>
      <c r="N200" s="3" t="n">
        <v>-100</v>
      </c>
      <c r="O200" s="3" t="n">
        <v>0</v>
      </c>
      <c r="P200" s="3" t="n">
        <v>0</v>
      </c>
      <c r="Q200" s="3">
        <f>SUM(L200:P200)-I200</f>
        <v/>
      </c>
    </row>
    <row r="201">
      <c r="A201" s="2" t="inlineStr">
        <is>
          <t>james-rowbottom</t>
        </is>
      </c>
      <c r="B201" s="2" t="inlineStr">
        <is>
          <t>James Rowbottom</t>
        </is>
      </c>
      <c r="C201" s="2" t="inlineStr">
        <is>
          <t>Sydney</t>
        </is>
      </c>
      <c r="D201" s="2" t="inlineStr">
        <is>
          <t>MID</t>
        </is>
      </c>
      <c r="E201" s="2" t="n">
        <v>26</v>
      </c>
      <c r="F201" s="2" t="inlineStr">
        <is>
          <t>National pick 25</t>
        </is>
      </c>
      <c r="G201" s="3" t="n">
        <v>1223</v>
      </c>
      <c r="H201" s="3" t="n">
        <v>1076</v>
      </c>
      <c r="I201" s="3">
        <f>H201-G201</f>
        <v/>
      </c>
      <c r="J201" s="4">
        <f>IF(G201=0,"",(H201-G201)/G201)</f>
        <v/>
      </c>
      <c r="K201" s="4">
        <f>IF(G201=0,"",(H201-G201*0.891738)/(G201*0.891738))</f>
        <v/>
      </c>
      <c r="L201" s="3" t="n">
        <v>-17</v>
      </c>
      <c r="M201" s="3" t="n">
        <v>0</v>
      </c>
      <c r="N201" s="3" t="n">
        <v>-130</v>
      </c>
      <c r="O201" s="3" t="n">
        <v>0</v>
      </c>
      <c r="P201" s="3" t="n">
        <v>0</v>
      </c>
      <c r="Q201" s="3">
        <f>SUM(L201:P201)-I201</f>
        <v/>
      </c>
    </row>
    <row r="202">
      <c r="A202" s="2" t="inlineStr">
        <is>
          <t>dayne-zorko</t>
        </is>
      </c>
      <c r="B202" s="2" t="inlineStr">
        <is>
          <t>Dayne Zorko</t>
        </is>
      </c>
      <c r="C202" s="2" t="inlineStr">
        <is>
          <t>Brisbane</t>
        </is>
      </c>
      <c r="D202" s="2" t="inlineStr">
        <is>
          <t>SD</t>
        </is>
      </c>
      <c r="E202" s="2" t="n">
        <v>37</v>
      </c>
      <c r="F202" s="2" t="inlineStr">
        <is>
          <t>National pick 38</t>
        </is>
      </c>
      <c r="G202" s="3" t="n">
        <v>1040</v>
      </c>
      <c r="H202" s="3" t="n">
        <v>915</v>
      </c>
      <c r="I202" s="3">
        <f>H202-G202</f>
        <v/>
      </c>
      <c r="J202" s="4">
        <f>IF(G202=0,"",(H202-G202)/G202)</f>
        <v/>
      </c>
      <c r="K202" s="4">
        <f>IF(G202=0,"",(H202-G202*0.891738)/(G202*0.891738))</f>
        <v/>
      </c>
      <c r="L202" s="3" t="n">
        <v>-15</v>
      </c>
      <c r="M202" s="3" t="n">
        <v>0</v>
      </c>
      <c r="N202" s="3" t="n">
        <v>-110</v>
      </c>
      <c r="O202" s="3" t="n">
        <v>0</v>
      </c>
      <c r="P202" s="3" t="n">
        <v>0</v>
      </c>
      <c r="Q202" s="3">
        <f>SUM(L202:P202)-I202</f>
        <v/>
      </c>
    </row>
    <row r="203">
      <c r="A203" s="2" t="inlineStr">
        <is>
          <t>lachlan-mcandrew</t>
        </is>
      </c>
      <c r="B203" s="2" t="inlineStr">
        <is>
          <t>Lachlan McAndrew</t>
        </is>
      </c>
      <c r="C203" s="2" t="inlineStr">
        <is>
          <t>Adelaide</t>
        </is>
      </c>
      <c r="D203" s="2" t="inlineStr">
        <is>
          <t>RUCK</t>
        </is>
      </c>
      <c r="E203" s="2" t="n">
        <v>26</v>
      </c>
      <c r="F203" s="2" t="inlineStr">
        <is>
          <t>SSP (pool)</t>
        </is>
      </c>
      <c r="G203" s="3" t="n">
        <v>1254</v>
      </c>
      <c r="H203" s="3" t="n">
        <v>1037</v>
      </c>
      <c r="I203" s="3">
        <f>H203-G203</f>
        <v/>
      </c>
      <c r="J203" s="4">
        <f>IF(G203=0,"",(H203-G203)/G203)</f>
        <v/>
      </c>
      <c r="K203" s="4">
        <f>IF(G203=0,"",(H203-G203*0.891738)/(G203*0.891738))</f>
        <v/>
      </c>
      <c r="L203" s="3" t="n">
        <v>-91</v>
      </c>
      <c r="M203" s="3" t="n">
        <v>0</v>
      </c>
      <c r="N203" s="3" t="n">
        <v>-126</v>
      </c>
      <c r="O203" s="3" t="n">
        <v>0</v>
      </c>
      <c r="P203" s="3" t="n">
        <v>0</v>
      </c>
      <c r="Q203" s="3">
        <f>SUM(L203:P203)-I203</f>
        <v/>
      </c>
    </row>
    <row r="204">
      <c r="A204" s="2" t="inlineStr">
        <is>
          <t>will-graham</t>
        </is>
      </c>
      <c r="B204" s="2" t="inlineStr">
        <is>
          <t>Will Graham</t>
        </is>
      </c>
      <c r="C204" s="2" t="inlineStr">
        <is>
          <t>Gold Coast</t>
        </is>
      </c>
      <c r="D204" s="2" t="inlineStr">
        <is>
          <t>MID</t>
        </is>
      </c>
      <c r="E204" s="2" t="n">
        <v>21</v>
      </c>
      <c r="F204" s="2" t="inlineStr">
        <is>
          <t>National pick 26</t>
        </is>
      </c>
      <c r="G204" s="3" t="n">
        <v>1694</v>
      </c>
      <c r="H204" s="3" t="n">
        <v>1482</v>
      </c>
      <c r="I204" s="3">
        <f>H204-G204</f>
        <v/>
      </c>
      <c r="J204" s="4">
        <f>IF(G204=0,"",(H204-G204)/G204)</f>
        <v/>
      </c>
      <c r="K204" s="4">
        <f>IF(G204=0,"",(H204-G204*0.891738)/(G204*0.891738))</f>
        <v/>
      </c>
      <c r="L204" s="3" t="n">
        <v>-32</v>
      </c>
      <c r="M204" s="3" t="n">
        <v>0</v>
      </c>
      <c r="N204" s="3" t="n">
        <v>-180</v>
      </c>
      <c r="O204" s="3" t="n">
        <v>0</v>
      </c>
      <c r="P204" s="3" t="n">
        <v>0</v>
      </c>
      <c r="Q204" s="3">
        <f>SUM(L204:P204)-I204</f>
        <v/>
      </c>
    </row>
    <row r="205">
      <c r="A205" s="2" t="inlineStr">
        <is>
          <t>harley-barker</t>
        </is>
      </c>
      <c r="B205" s="2" t="inlineStr">
        <is>
          <t>Harley Barker</t>
        </is>
      </c>
      <c r="C205" s="2" t="inlineStr">
        <is>
          <t>Geelong</t>
        </is>
      </c>
      <c r="D205" s="2" t="inlineStr">
        <is>
          <t>MID</t>
        </is>
      </c>
      <c r="E205" s="2" t="n">
        <v>19</v>
      </c>
      <c r="F205" s="2" t="inlineStr">
        <is>
          <t>National pick 24</t>
        </is>
      </c>
      <c r="G205" s="3" t="n">
        <v>677</v>
      </c>
      <c r="H205" s="3" t="n">
        <v>649</v>
      </c>
      <c r="I205" s="3">
        <f>H205-G205</f>
        <v/>
      </c>
      <c r="J205" s="4">
        <f>IF(G205=0,"",(H205-G205)/G205)</f>
        <v/>
      </c>
      <c r="K205" s="4">
        <f>IF(G205=0,"",(H205-G205*0.891738)/(G205*0.891738))</f>
        <v/>
      </c>
      <c r="L205" s="3" t="n">
        <v>0</v>
      </c>
      <c r="M205" s="3" t="n">
        <v>0</v>
      </c>
      <c r="N205" s="3" t="n">
        <v>-28</v>
      </c>
      <c r="O205" s="3" t="n">
        <v>0</v>
      </c>
      <c r="P205" s="3" t="n">
        <v>0</v>
      </c>
      <c r="Q205" s="3">
        <f>SUM(L205:P205)-I205</f>
        <v/>
      </c>
    </row>
    <row r="206">
      <c r="A206" s="2" t="inlineStr">
        <is>
          <t>cooper-trembath</t>
        </is>
      </c>
      <c r="B206" s="2" t="inlineStr">
        <is>
          <t>Cooper Trembath</t>
        </is>
      </c>
      <c r="C206" s="2" t="inlineStr">
        <is>
          <t>North Melbourne</t>
        </is>
      </c>
      <c r="D206" s="2" t="inlineStr">
        <is>
          <t>KPF</t>
        </is>
      </c>
      <c r="E206" s="2" t="n">
        <v>21</v>
      </c>
      <c r="F206" s="2" t="inlineStr">
        <is>
          <t>Mid-Season pick 9</t>
        </is>
      </c>
      <c r="G206" s="3" t="n">
        <v>2053</v>
      </c>
      <c r="H206" s="3" t="n">
        <v>1666</v>
      </c>
      <c r="I206" s="3">
        <f>H206-G206</f>
        <v/>
      </c>
      <c r="J206" s="4">
        <f>IF(G206=0,"",(H206-G206)/G206)</f>
        <v/>
      </c>
      <c r="K206" s="4">
        <f>IF(G206=0,"",(H206-G206*0.891738)/(G206*0.891738))</f>
        <v/>
      </c>
      <c r="L206" s="3" t="n">
        <v>-185</v>
      </c>
      <c r="M206" s="3" t="n">
        <v>0</v>
      </c>
      <c r="N206" s="3" t="n">
        <v>-202</v>
      </c>
      <c r="O206" s="3" t="n">
        <v>0</v>
      </c>
      <c r="P206" s="3" t="n">
        <v>0</v>
      </c>
      <c r="Q206" s="3">
        <f>SUM(L206:P206)-I206</f>
        <v/>
      </c>
    </row>
    <row r="207">
      <c r="A207" s="2" t="inlineStr">
        <is>
          <t>bo-allan</t>
        </is>
      </c>
      <c r="B207" s="2" t="inlineStr">
        <is>
          <t>Bo Allan</t>
        </is>
      </c>
      <c r="C207" s="2" t="inlineStr">
        <is>
          <t>West Coast</t>
        </is>
      </c>
      <c r="D207" s="2" t="inlineStr">
        <is>
          <t>SD</t>
        </is>
      </c>
      <c r="E207" s="2" t="n">
        <v>20</v>
      </c>
      <c r="F207" s="2" t="inlineStr">
        <is>
          <t>National pick 16</t>
        </is>
      </c>
      <c r="G207" s="3" t="n">
        <v>1121</v>
      </c>
      <c r="H207" s="3" t="n">
        <v>767</v>
      </c>
      <c r="I207" s="3">
        <f>H207-G207</f>
        <v/>
      </c>
      <c r="J207" s="4">
        <f>IF(G207=0,"",(H207-G207)/G207)</f>
        <v/>
      </c>
      <c r="K207" s="4">
        <f>IF(G207=0,"",(H207-G207*0.891738)/(G207*0.891738))</f>
        <v/>
      </c>
      <c r="L207" s="3" t="n">
        <v>-261</v>
      </c>
      <c r="M207" s="3" t="n">
        <v>0</v>
      </c>
      <c r="N207" s="3" t="n">
        <v>-93</v>
      </c>
      <c r="O207" s="3" t="n">
        <v>0</v>
      </c>
      <c r="P207" s="3" t="n">
        <v>0</v>
      </c>
      <c r="Q207" s="3">
        <f>SUM(L207:P207)-I207</f>
        <v/>
      </c>
    </row>
    <row r="208">
      <c r="A208" s="2" t="inlineStr">
        <is>
          <t>lachy-dovaston</t>
        </is>
      </c>
      <c r="B208" s="2" t="inlineStr">
        <is>
          <t>Lachy Dovaston</t>
        </is>
      </c>
      <c r="C208" s="2" t="inlineStr">
        <is>
          <t>North Melbourne</t>
        </is>
      </c>
      <c r="D208" s="2" t="inlineStr">
        <is>
          <t>SF</t>
        </is>
      </c>
      <c r="E208" s="2" t="n">
        <v>19</v>
      </c>
      <c r="F208" s="2" t="inlineStr">
        <is>
          <t>National pick 16</t>
        </is>
      </c>
      <c r="G208" s="3" t="n">
        <v>601</v>
      </c>
      <c r="H208" s="3" t="n">
        <v>412</v>
      </c>
      <c r="I208" s="3">
        <f>H208-G208</f>
        <v/>
      </c>
      <c r="J208" s="4">
        <f>IF(G208=0,"",(H208-G208)/G208)</f>
        <v/>
      </c>
      <c r="K208" s="4">
        <f>IF(G208=0,"",(H208-G208*0.891738)/(G208*0.891738))</f>
        <v/>
      </c>
      <c r="L208" s="3" t="n">
        <v>-139</v>
      </c>
      <c r="M208" s="3" t="n">
        <v>0</v>
      </c>
      <c r="N208" s="3" t="n">
        <v>-50</v>
      </c>
      <c r="O208" s="3" t="n">
        <v>0</v>
      </c>
      <c r="P208" s="3" t="n">
        <v>0</v>
      </c>
      <c r="Q208" s="3">
        <f>SUM(L208:P208)-I208</f>
        <v/>
      </c>
    </row>
    <row r="209">
      <c r="A209" s="2" t="inlineStr">
        <is>
          <t>paul-curtis</t>
        </is>
      </c>
      <c r="B209" s="2" t="inlineStr">
        <is>
          <t>Paul Curtis</t>
        </is>
      </c>
      <c r="C209" s="2" t="inlineStr">
        <is>
          <t>North Melbourne</t>
        </is>
      </c>
      <c r="D209" s="2" t="inlineStr">
        <is>
          <t>SF</t>
        </is>
      </c>
      <c r="E209" s="2" t="n">
        <v>23</v>
      </c>
      <c r="F209" s="2" t="inlineStr">
        <is>
          <t>National pick 35</t>
        </is>
      </c>
      <c r="G209" s="3" t="n">
        <v>1382</v>
      </c>
      <c r="H209" s="3" t="n">
        <v>1213</v>
      </c>
      <c r="I209" s="3">
        <f>H209-G209</f>
        <v/>
      </c>
      <c r="J209" s="4">
        <f>IF(G209=0,"",(H209-G209)/G209)</f>
        <v/>
      </c>
      <c r="K209" s="4">
        <f>IF(G209=0,"",(H209-G209*0.891738)/(G209*0.891738))</f>
        <v/>
      </c>
      <c r="L209" s="3" t="n">
        <v>-21</v>
      </c>
      <c r="M209" s="3" t="n">
        <v>0</v>
      </c>
      <c r="N209" s="3" t="n">
        <v>-148</v>
      </c>
      <c r="O209" s="3" t="n">
        <v>0</v>
      </c>
      <c r="P209" s="3" t="n">
        <v>0</v>
      </c>
      <c r="Q209" s="3">
        <f>SUM(L209:P209)-I209</f>
        <v/>
      </c>
    </row>
    <row r="210">
      <c r="A210" s="2" t="inlineStr">
        <is>
          <t>zach-reid</t>
        </is>
      </c>
      <c r="B210" s="2" t="inlineStr">
        <is>
          <t>Zach Reid</t>
        </is>
      </c>
      <c r="C210" s="2" t="inlineStr">
        <is>
          <t>Essendon</t>
        </is>
      </c>
      <c r="D210" s="2" t="inlineStr">
        <is>
          <t>KPD</t>
        </is>
      </c>
      <c r="E210" s="2" t="n">
        <v>24</v>
      </c>
      <c r="F210" s="2" t="inlineStr">
        <is>
          <t>National pick 10</t>
        </is>
      </c>
      <c r="G210" s="3" t="n">
        <v>1212</v>
      </c>
      <c r="H210" s="3" t="n">
        <v>1078</v>
      </c>
      <c r="I210" s="3">
        <f>H210-G210</f>
        <v/>
      </c>
      <c r="J210" s="4">
        <f>IF(G210=0,"",(H210-G210)/G210)</f>
        <v/>
      </c>
      <c r="K210" s="4">
        <f>IF(G210=0,"",(H210-G210*0.891738)/(G210*0.891738))</f>
        <v/>
      </c>
      <c r="L210" s="3" t="n">
        <v>-3</v>
      </c>
      <c r="M210" s="3" t="n">
        <v>0</v>
      </c>
      <c r="N210" s="3" t="n">
        <v>-131</v>
      </c>
      <c r="O210" s="3" t="n">
        <v>0</v>
      </c>
      <c r="P210" s="3" t="n">
        <v>0</v>
      </c>
      <c r="Q210" s="3">
        <f>SUM(L210:P210)-I210</f>
        <v/>
      </c>
    </row>
    <row r="211">
      <c r="A211" s="2" t="inlineStr">
        <is>
          <t>wil-dawson</t>
        </is>
      </c>
      <c r="B211" s="2" t="inlineStr">
        <is>
          <t>Wil Dawson</t>
        </is>
      </c>
      <c r="C211" s="2" t="inlineStr">
        <is>
          <t>North Melbourne</t>
        </is>
      </c>
      <c r="D211" s="2" t="inlineStr">
        <is>
          <t>KPD</t>
        </is>
      </c>
      <c r="E211" s="2" t="n">
        <v>21</v>
      </c>
      <c r="F211" s="2" t="inlineStr">
        <is>
          <t>National pick 22</t>
        </is>
      </c>
      <c r="G211" s="3" t="n">
        <v>559</v>
      </c>
      <c r="H211" s="3" t="n">
        <v>408</v>
      </c>
      <c r="I211" s="3">
        <f>H211-G211</f>
        <v/>
      </c>
      <c r="J211" s="4">
        <f>IF(G211=0,"",(H211-G211)/G211)</f>
        <v/>
      </c>
      <c r="K211" s="4">
        <f>IF(G211=0,"",(H211-G211*0.891738)/(G211*0.891738))</f>
        <v/>
      </c>
      <c r="L211" s="3" t="n">
        <v>-102</v>
      </c>
      <c r="M211" s="3" t="n">
        <v>0</v>
      </c>
      <c r="N211" s="3" t="n">
        <v>-49</v>
      </c>
      <c r="O211" s="3" t="n">
        <v>0</v>
      </c>
      <c r="P211" s="3" t="n">
        <v>0</v>
      </c>
      <c r="Q211" s="3">
        <f>SUM(L211:P211)-I211</f>
        <v/>
      </c>
    </row>
    <row r="212">
      <c r="A212" s="2" t="inlineStr">
        <is>
          <t>adam-sweid</t>
        </is>
      </c>
      <c r="B212" s="2" t="inlineStr">
        <is>
          <t>Adam Sweid</t>
        </is>
      </c>
      <c r="C212" s="2" t="inlineStr">
        <is>
          <t>Fremantle</t>
        </is>
      </c>
      <c r="D212" s="2" t="inlineStr">
        <is>
          <t>SF</t>
        </is>
      </c>
      <c r="E212" s="2" t="n">
        <v>19</v>
      </c>
      <c r="F212" s="2" t="inlineStr">
        <is>
          <t>National pick 25</t>
        </is>
      </c>
      <c r="G212" s="3" t="n">
        <v>408</v>
      </c>
      <c r="H212" s="3" t="n">
        <v>391</v>
      </c>
      <c r="I212" s="3">
        <f>H212-G212</f>
        <v/>
      </c>
      <c r="J212" s="4">
        <f>IF(G212=0,"",(H212-G212)/G212)</f>
        <v/>
      </c>
      <c r="K212" s="4">
        <f>IF(G212=0,"",(H212-G212*0.891738)/(G212*0.891738))</f>
        <v/>
      </c>
      <c r="L212" s="3" t="n">
        <v>0</v>
      </c>
      <c r="M212" s="3" t="n">
        <v>0</v>
      </c>
      <c r="N212" s="3" t="n">
        <v>-17</v>
      </c>
      <c r="O212" s="3" t="n">
        <v>0</v>
      </c>
      <c r="P212" s="3" t="n">
        <v>0</v>
      </c>
      <c r="Q212" s="3">
        <f>SUM(L212:P212)-I212</f>
        <v/>
      </c>
    </row>
    <row r="213">
      <c r="A213" s="2" t="inlineStr">
        <is>
          <t>jedd-busslinger</t>
        </is>
      </c>
      <c r="B213" s="2" t="inlineStr">
        <is>
          <t>Jedd Busslinger</t>
        </is>
      </c>
      <c r="C213" s="2" t="inlineStr">
        <is>
          <t>Western Bulldogs</t>
        </is>
      </c>
      <c r="D213" s="2" t="inlineStr">
        <is>
          <t>KPD</t>
        </is>
      </c>
      <c r="E213" s="2" t="n">
        <v>22</v>
      </c>
      <c r="F213" s="2" t="inlineStr">
        <is>
          <t>National pick 13</t>
        </is>
      </c>
      <c r="G213" s="3" t="n">
        <v>888</v>
      </c>
      <c r="H213" s="3" t="n">
        <v>773</v>
      </c>
      <c r="I213" s="3">
        <f>H213-G213</f>
        <v/>
      </c>
      <c r="J213" s="4">
        <f>IF(G213=0,"",(H213-G213)/G213)</f>
        <v/>
      </c>
      <c r="K213" s="4">
        <f>IF(G213=0,"",(H213-G213*0.891738)/(G213*0.891738))</f>
        <v/>
      </c>
      <c r="L213" s="3" t="n">
        <v>-21</v>
      </c>
      <c r="M213" s="3" t="n">
        <v>0</v>
      </c>
      <c r="N213" s="3" t="n">
        <v>-94</v>
      </c>
      <c r="O213" s="3" t="n">
        <v>0</v>
      </c>
      <c r="P213" s="3" t="n">
        <v>0</v>
      </c>
      <c r="Q213" s="3">
        <f>SUM(L213:P213)-I213</f>
        <v/>
      </c>
    </row>
    <row r="214">
      <c r="A214" s="2" t="inlineStr">
        <is>
          <t>cameron-mackenzie</t>
        </is>
      </c>
      <c r="B214" s="2" t="inlineStr">
        <is>
          <t>Cameron Mackenzie</t>
        </is>
      </c>
      <c r="C214" s="2" t="inlineStr">
        <is>
          <t>Hawthorn</t>
        </is>
      </c>
      <c r="D214" s="2" t="inlineStr">
        <is>
          <t>MID</t>
        </is>
      </c>
      <c r="E214" s="2" t="n">
        <v>22</v>
      </c>
      <c r="F214" s="2" t="inlineStr">
        <is>
          <t>National pick 7</t>
        </is>
      </c>
      <c r="G214" s="3" t="n">
        <v>2094</v>
      </c>
      <c r="H214" s="3" t="n">
        <v>1835</v>
      </c>
      <c r="I214" s="3">
        <f>H214-G214</f>
        <v/>
      </c>
      <c r="J214" s="4">
        <f>IF(G214=0,"",(H214-G214)/G214)</f>
        <v/>
      </c>
      <c r="K214" s="4">
        <f>IF(G214=0,"",(H214-G214*0.891738)/(G214*0.891738))</f>
        <v/>
      </c>
      <c r="L214" s="3" t="n">
        <v>-37</v>
      </c>
      <c r="M214" s="3" t="n">
        <v>0</v>
      </c>
      <c r="N214" s="3" t="n">
        <v>-222</v>
      </c>
      <c r="O214" s="3" t="n">
        <v>0</v>
      </c>
      <c r="P214" s="3" t="n">
        <v>0</v>
      </c>
      <c r="Q214" s="3">
        <f>SUM(L214:P214)-I214</f>
        <v/>
      </c>
    </row>
    <row r="215">
      <c r="A215" s="2" t="inlineStr">
        <is>
          <t>matt-whitlock</t>
        </is>
      </c>
      <c r="B215" s="2" t="inlineStr">
        <is>
          <t>Matt Whitlock</t>
        </is>
      </c>
      <c r="C215" s="2" t="inlineStr">
        <is>
          <t>North Melbourne</t>
        </is>
      </c>
      <c r="D215" s="2" t="inlineStr">
        <is>
          <t>KPF</t>
        </is>
      </c>
      <c r="E215" s="2" t="n">
        <v>20</v>
      </c>
      <c r="F215" s="2" t="inlineStr">
        <is>
          <t>National pick 27</t>
        </is>
      </c>
      <c r="G215" s="3" t="n">
        <v>448</v>
      </c>
      <c r="H215" s="3" t="n">
        <v>359</v>
      </c>
      <c r="I215" s="3">
        <f>H215-G215</f>
        <v/>
      </c>
      <c r="J215" s="4">
        <f>IF(G215=0,"",(H215-G215)/G215)</f>
        <v/>
      </c>
      <c r="K215" s="4">
        <f>IF(G215=0,"",(H215-G215*0.891738)/(G215*0.891738))</f>
        <v/>
      </c>
      <c r="L215" s="3" t="n">
        <v>130</v>
      </c>
      <c r="M215" s="3" t="n">
        <v>0</v>
      </c>
      <c r="N215" s="3" t="n">
        <v>-54</v>
      </c>
      <c r="O215" s="3" t="n">
        <v>-56</v>
      </c>
      <c r="P215" s="3" t="n">
        <v>-109</v>
      </c>
      <c r="Q215" s="3">
        <f>SUM(L215:P215)-I215</f>
        <v/>
      </c>
    </row>
    <row r="216">
      <c r="A216" s="2" t="inlineStr">
        <is>
          <t>jordan-croft</t>
        </is>
      </c>
      <c r="B216" s="2" t="inlineStr">
        <is>
          <t>Jordan Croft</t>
        </is>
      </c>
      <c r="C216" s="2" t="inlineStr">
        <is>
          <t>Western Bulldogs</t>
        </is>
      </c>
      <c r="D216" s="2" t="inlineStr">
        <is>
          <t>KPF</t>
        </is>
      </c>
      <c r="E216" s="2" t="n">
        <v>21</v>
      </c>
      <c r="F216" s="2" t="inlineStr">
        <is>
          <t>National pick 15</t>
        </is>
      </c>
      <c r="G216" s="3" t="n">
        <v>975</v>
      </c>
      <c r="H216" s="3" t="n">
        <v>785</v>
      </c>
      <c r="I216" s="3">
        <f>H216-G216</f>
        <v/>
      </c>
      <c r="J216" s="4">
        <f>IF(G216=0,"",(H216-G216)/G216)</f>
        <v/>
      </c>
      <c r="K216" s="4">
        <f>IF(G216=0,"",(H216-G216*0.891738)/(G216*0.891738))</f>
        <v/>
      </c>
      <c r="L216" s="3" t="n">
        <v>-95</v>
      </c>
      <c r="M216" s="3" t="n">
        <v>0</v>
      </c>
      <c r="N216" s="3" t="n">
        <v>-95</v>
      </c>
      <c r="O216" s="3" t="n">
        <v>0</v>
      </c>
      <c r="P216" s="3" t="n">
        <v>0</v>
      </c>
      <c r="Q216" s="3">
        <f>SUM(L216:P216)-I216</f>
        <v/>
      </c>
    </row>
    <row r="217">
      <c r="A217" s="2" t="inlineStr">
        <is>
          <t>aliir-aliir</t>
        </is>
      </c>
      <c r="B217" s="2" t="inlineStr">
        <is>
          <t>Aliir Aliir</t>
        </is>
      </c>
      <c r="C217" s="2" t="inlineStr">
        <is>
          <t>Port Adelaide</t>
        </is>
      </c>
      <c r="D217" s="2" t="inlineStr">
        <is>
          <t>KPD</t>
        </is>
      </c>
      <c r="E217" s="2" t="n">
        <v>32</v>
      </c>
      <c r="F217" s="2" t="inlineStr">
        <is>
          <t>National pick 44</t>
        </is>
      </c>
      <c r="G217" s="3" t="n">
        <v>874</v>
      </c>
      <c r="H217" s="3" t="n">
        <v>769</v>
      </c>
      <c r="I217" s="3">
        <f>H217-G217</f>
        <v/>
      </c>
      <c r="J217" s="4">
        <f>IF(G217=0,"",(H217-G217)/G217)</f>
        <v/>
      </c>
      <c r="K217" s="4">
        <f>IF(G217=0,"",(H217-G217*0.891738)/(G217*0.891738))</f>
        <v/>
      </c>
      <c r="L217" s="3" t="n">
        <v>-11</v>
      </c>
      <c r="M217" s="3" t="n">
        <v>0</v>
      </c>
      <c r="N217" s="3" t="n">
        <v>-94</v>
      </c>
      <c r="O217" s="3" t="n">
        <v>0</v>
      </c>
      <c r="P217" s="3" t="n">
        <v>0</v>
      </c>
      <c r="Q217" s="3">
        <f>SUM(L217:P217)-I217</f>
        <v/>
      </c>
    </row>
    <row r="218">
      <c r="A218" s="2" t="inlineStr">
        <is>
          <t>oliver-hollands</t>
        </is>
      </c>
      <c r="B218" s="2" t="inlineStr">
        <is>
          <t>Oliver Hollands</t>
        </is>
      </c>
      <c r="C218" s="2" t="inlineStr">
        <is>
          <t>Carlton</t>
        </is>
      </c>
      <c r="D218" s="2" t="inlineStr">
        <is>
          <t>MID</t>
        </is>
      </c>
      <c r="E218" s="2" t="n">
        <v>22</v>
      </c>
      <c r="F218" s="2" t="inlineStr">
        <is>
          <t>National pick 11</t>
        </is>
      </c>
      <c r="G218" s="3" t="n">
        <v>1728</v>
      </c>
      <c r="H218" s="3" t="n">
        <v>1473</v>
      </c>
      <c r="I218" s="3">
        <f>H218-G218</f>
        <v/>
      </c>
      <c r="J218" s="4">
        <f>IF(G218=0,"",(H218-G218)/G218)</f>
        <v/>
      </c>
      <c r="K218" s="4">
        <f>IF(G218=0,"",(H218-G218*0.891738)/(G218*0.891738))</f>
        <v/>
      </c>
      <c r="L218" s="3" t="n">
        <v>-77</v>
      </c>
      <c r="M218" s="3" t="n">
        <v>0</v>
      </c>
      <c r="N218" s="3" t="n">
        <v>-178</v>
      </c>
      <c r="O218" s="3" t="n">
        <v>0</v>
      </c>
      <c r="P218" s="3" t="n">
        <v>0</v>
      </c>
      <c r="Q218" s="3">
        <f>SUM(L218:P218)-I218</f>
        <v/>
      </c>
    </row>
    <row r="219">
      <c r="A219" s="2" t="inlineStr">
        <is>
          <t>darcy-jones</t>
        </is>
      </c>
      <c r="B219" s="2" t="inlineStr">
        <is>
          <t>Darcy Jones</t>
        </is>
      </c>
      <c r="C219" s="2" t="inlineStr">
        <is>
          <t>GWS</t>
        </is>
      </c>
      <c r="D219" s="2" t="inlineStr">
        <is>
          <t>SF</t>
        </is>
      </c>
      <c r="E219" s="2" t="n">
        <v>22</v>
      </c>
      <c r="F219" s="2" t="inlineStr">
        <is>
          <t>National pick 21</t>
        </is>
      </c>
      <c r="G219" s="3" t="n">
        <v>1321</v>
      </c>
      <c r="H219" s="3" t="n">
        <v>1133</v>
      </c>
      <c r="I219" s="3">
        <f>H219-G219</f>
        <v/>
      </c>
      <c r="J219" s="4">
        <f>IF(G219=0,"",(H219-G219)/G219)</f>
        <v/>
      </c>
      <c r="K219" s="4">
        <f>IF(G219=0,"",(H219-G219*0.891738)/(G219*0.891738))</f>
        <v/>
      </c>
      <c r="L219" s="3" t="n">
        <v>-51</v>
      </c>
      <c r="M219" s="3" t="n">
        <v>0</v>
      </c>
      <c r="N219" s="3" t="n">
        <v>-137</v>
      </c>
      <c r="O219" s="3" t="n">
        <v>0</v>
      </c>
      <c r="P219" s="3" t="n">
        <v>0</v>
      </c>
      <c r="Q219" s="3">
        <f>SUM(L219:P219)-I219</f>
        <v/>
      </c>
    </row>
    <row r="220">
      <c r="A220" s="2" t="inlineStr">
        <is>
          <t>thomas-sims</t>
        </is>
      </c>
      <c r="B220" s="2" t="inlineStr">
        <is>
          <t>Thomas Sims</t>
        </is>
      </c>
      <c r="C220" s="2" t="inlineStr">
        <is>
          <t>Richmond</t>
        </is>
      </c>
      <c r="D220" s="2" t="inlineStr">
        <is>
          <t>KPF</t>
        </is>
      </c>
      <c r="E220" s="2" t="n">
        <v>20</v>
      </c>
      <c r="F220" s="2" t="inlineStr">
        <is>
          <t>National pick 28</t>
        </is>
      </c>
      <c r="G220" s="3" t="n">
        <v>1040</v>
      </c>
      <c r="H220" s="3" t="n">
        <v>925</v>
      </c>
      <c r="I220" s="3">
        <f>H220-G220</f>
        <v/>
      </c>
      <c r="J220" s="4">
        <f>IF(G220=0,"",(H220-G220)/G220)</f>
        <v/>
      </c>
      <c r="K220" s="4">
        <f>IF(G220=0,"",(H220-G220*0.891738)/(G220*0.891738))</f>
        <v/>
      </c>
      <c r="L220" s="3" t="n">
        <v>-2</v>
      </c>
      <c r="M220" s="3" t="n">
        <v>0</v>
      </c>
      <c r="N220" s="3" t="n">
        <v>-113</v>
      </c>
      <c r="O220" s="3" t="n">
        <v>0</v>
      </c>
      <c r="P220" s="3" t="n">
        <v>0</v>
      </c>
      <c r="Q220" s="3">
        <f>SUM(L220:P220)-I220</f>
        <v/>
      </c>
    </row>
    <row r="221">
      <c r="A221" s="2" t="inlineStr">
        <is>
          <t>blake-thredgold</t>
        </is>
      </c>
      <c r="B221" s="2" t="inlineStr">
        <is>
          <t>Blake Thredgold</t>
        </is>
      </c>
      <c r="C221" s="2" t="inlineStr">
        <is>
          <t>North Melbourne</t>
        </is>
      </c>
      <c r="D221" s="2" t="inlineStr">
        <is>
          <t>KPD</t>
        </is>
      </c>
      <c r="E221" s="2" t="n">
        <v>19</v>
      </c>
      <c r="F221" s="2" t="inlineStr">
        <is>
          <t>National pick 26</t>
        </is>
      </c>
      <c r="G221" s="3" t="n">
        <v>373</v>
      </c>
      <c r="H221" s="3" t="n">
        <v>358</v>
      </c>
      <c r="I221" s="3">
        <f>H221-G221</f>
        <v/>
      </c>
      <c r="J221" s="4">
        <f>IF(G221=0,"",(H221-G221)/G221)</f>
        <v/>
      </c>
      <c r="K221" s="4">
        <f>IF(G221=0,"",(H221-G221*0.891738)/(G221*0.891738))</f>
        <v/>
      </c>
      <c r="L221" s="3" t="n">
        <v>0</v>
      </c>
      <c r="M221" s="3" t="n">
        <v>0</v>
      </c>
      <c r="N221" s="3" t="n">
        <v>-15</v>
      </c>
      <c r="O221" s="3" t="n">
        <v>0</v>
      </c>
      <c r="P221" s="3" t="n">
        <v>0</v>
      </c>
      <c r="Q221" s="3">
        <f>SUM(L221:P221)-I221</f>
        <v/>
      </c>
    </row>
    <row r="222">
      <c r="A222" s="2" t="inlineStr">
        <is>
          <t>ed-langdon</t>
        </is>
      </c>
      <c r="B222" s="2" t="inlineStr">
        <is>
          <t>Ed Langdon</t>
        </is>
      </c>
      <c r="C222" s="2" t="inlineStr">
        <is>
          <t>Melbourne</t>
        </is>
      </c>
      <c r="D222" s="2" t="inlineStr">
        <is>
          <t>SD</t>
        </is>
      </c>
      <c r="E222" s="2" t="n">
        <v>30</v>
      </c>
      <c r="F222" s="2" t="inlineStr">
        <is>
          <t>National pick 54</t>
        </is>
      </c>
      <c r="G222" s="3" t="n">
        <v>903</v>
      </c>
      <c r="H222" s="3" t="n">
        <v>794</v>
      </c>
      <c r="I222" s="3">
        <f>H222-G222</f>
        <v/>
      </c>
      <c r="J222" s="4">
        <f>IF(G222=0,"",(H222-G222)/G222)</f>
        <v/>
      </c>
      <c r="K222" s="4">
        <f>IF(G222=0,"",(H222-G222*0.891738)/(G222*0.891738))</f>
        <v/>
      </c>
      <c r="L222" s="3" t="n">
        <v>-13</v>
      </c>
      <c r="M222" s="3" t="n">
        <v>0</v>
      </c>
      <c r="N222" s="3" t="n">
        <v>-96</v>
      </c>
      <c r="O222" s="3" t="n">
        <v>0</v>
      </c>
      <c r="P222" s="3" t="n">
        <v>0</v>
      </c>
      <c r="Q222" s="3">
        <f>SUM(L222:P222)-I222</f>
        <v/>
      </c>
    </row>
    <row r="223">
      <c r="A223" s="2" t="inlineStr">
        <is>
          <t>joe-richards</t>
        </is>
      </c>
      <c r="B223" s="2" t="inlineStr">
        <is>
          <t>Joe Richards</t>
        </is>
      </c>
      <c r="C223" s="2" t="inlineStr">
        <is>
          <t>Port Adelaide</t>
        </is>
      </c>
      <c r="D223" s="2" t="inlineStr">
        <is>
          <t>SF</t>
        </is>
      </c>
      <c r="E223" s="2" t="n">
        <v>27</v>
      </c>
      <c r="F223" s="2" t="inlineStr">
        <is>
          <t>National pick 48</t>
        </is>
      </c>
      <c r="G223" s="3" t="n">
        <v>922</v>
      </c>
      <c r="H223" s="3" t="n">
        <v>813</v>
      </c>
      <c r="I223" s="3">
        <f>H223-G223</f>
        <v/>
      </c>
      <c r="J223" s="4">
        <f>IF(G223=0,"",(H223-G223)/G223)</f>
        <v/>
      </c>
      <c r="K223" s="4">
        <f>IF(G223=0,"",(H223-G223*0.891738)/(G223*0.891738))</f>
        <v/>
      </c>
      <c r="L223" s="3" t="n">
        <v>-11</v>
      </c>
      <c r="M223" s="3" t="n">
        <v>0</v>
      </c>
      <c r="N223" s="3" t="n">
        <v>-98</v>
      </c>
      <c r="O223" s="3" t="n">
        <v>0</v>
      </c>
      <c r="P223" s="3" t="n">
        <v>0</v>
      </c>
      <c r="Q223" s="3">
        <f>SUM(L223:P223)-I223</f>
        <v/>
      </c>
    </row>
    <row r="224">
      <c r="A224" s="2" t="inlineStr">
        <is>
          <t>jayden-short</t>
        </is>
      </c>
      <c r="B224" s="2" t="inlineStr">
        <is>
          <t>Jayden Short</t>
        </is>
      </c>
      <c r="C224" s="2" t="inlineStr">
        <is>
          <t>Richmond</t>
        </is>
      </c>
      <c r="D224" s="2" t="inlineStr">
        <is>
          <t>SD</t>
        </is>
      </c>
      <c r="E224" s="2" t="n">
        <v>30</v>
      </c>
      <c r="F224" s="2" t="inlineStr">
        <is>
          <t>Rookie pick 9</t>
        </is>
      </c>
      <c r="G224" s="3" t="n">
        <v>962</v>
      </c>
      <c r="H224" s="3" t="n">
        <v>846</v>
      </c>
      <c r="I224" s="3">
        <f>H224-G224</f>
        <v/>
      </c>
      <c r="J224" s="4">
        <f>IF(G224=0,"",(H224-G224)/G224)</f>
        <v/>
      </c>
      <c r="K224" s="4">
        <f>IF(G224=0,"",(H224-G224*0.891738)/(G224*0.891738))</f>
        <v/>
      </c>
      <c r="L224" s="3" t="n">
        <v>-14</v>
      </c>
      <c r="M224" s="3" t="n">
        <v>0</v>
      </c>
      <c r="N224" s="3" t="n">
        <v>-102</v>
      </c>
      <c r="O224" s="3" t="n">
        <v>0</v>
      </c>
      <c r="P224" s="3" t="n">
        <v>0</v>
      </c>
      <c r="Q224" s="3">
        <f>SUM(L224:P224)-I224</f>
        <v/>
      </c>
    </row>
    <row r="225">
      <c r="A225" s="2" t="inlineStr">
        <is>
          <t>mark-keane</t>
        </is>
      </c>
      <c r="B225" s="2" t="inlineStr">
        <is>
          <t>Mark Keane</t>
        </is>
      </c>
      <c r="C225" s="2" t="inlineStr">
        <is>
          <t>Adelaide</t>
        </is>
      </c>
      <c r="D225" s="2" t="inlineStr">
        <is>
          <t>KPD</t>
        </is>
      </c>
      <c r="E225" s="2" t="n">
        <v>26</v>
      </c>
      <c r="F225" s="2" t="inlineStr">
        <is>
          <t>SSP (pool)</t>
        </is>
      </c>
      <c r="G225" s="3" t="n">
        <v>1569</v>
      </c>
      <c r="H225" s="3" t="n">
        <v>1311</v>
      </c>
      <c r="I225" s="3">
        <f>H225-G225</f>
        <v/>
      </c>
      <c r="J225" s="4">
        <f>IF(G225=0,"",(H225-G225)/G225)</f>
        <v/>
      </c>
      <c r="K225" s="4">
        <f>IF(G225=0,"",(H225-G225*0.891738)/(G225*0.891738))</f>
        <v/>
      </c>
      <c r="L225" s="3" t="n">
        <v>-99</v>
      </c>
      <c r="M225" s="3" t="n">
        <v>0</v>
      </c>
      <c r="N225" s="3" t="n">
        <v>-159</v>
      </c>
      <c r="O225" s="3" t="n">
        <v>0</v>
      </c>
      <c r="P225" s="3" t="n">
        <v>0</v>
      </c>
      <c r="Q225" s="3">
        <f>SUM(L225:P225)-I225</f>
        <v/>
      </c>
    </row>
    <row r="226">
      <c r="A226" s="2" t="inlineStr">
        <is>
          <t>jacob-weitering</t>
        </is>
      </c>
      <c r="B226" s="2" t="inlineStr">
        <is>
          <t>Jacob Weitering</t>
        </is>
      </c>
      <c r="C226" s="2" t="inlineStr">
        <is>
          <t>Carlton</t>
        </is>
      </c>
      <c r="D226" s="2" t="inlineStr">
        <is>
          <t>KPD</t>
        </is>
      </c>
      <c r="E226" s="2" t="n">
        <v>29</v>
      </c>
      <c r="F226" s="2" t="inlineStr">
        <is>
          <t>National pick 1</t>
        </is>
      </c>
      <c r="G226" s="3" t="n">
        <v>1031</v>
      </c>
      <c r="H226" s="3" t="n">
        <v>908</v>
      </c>
      <c r="I226" s="3">
        <f>H226-G226</f>
        <v/>
      </c>
      <c r="J226" s="4">
        <f>IF(G226=0,"",(H226-G226)/G226)</f>
        <v/>
      </c>
      <c r="K226" s="4">
        <f>IF(G226=0,"",(H226-G226*0.891738)/(G226*0.891738))</f>
        <v/>
      </c>
      <c r="L226" s="3" t="n">
        <v>-13</v>
      </c>
      <c r="M226" s="3" t="n">
        <v>0</v>
      </c>
      <c r="N226" s="3" t="n">
        <v>-110</v>
      </c>
      <c r="O226" s="3" t="n">
        <v>0</v>
      </c>
      <c r="P226" s="3" t="n">
        <v>0</v>
      </c>
      <c r="Q226" s="3">
        <f>SUM(L226:P226)-I226</f>
        <v/>
      </c>
    </row>
    <row r="227">
      <c r="A227" s="2" t="inlineStr">
        <is>
          <t>oliver-hannaford</t>
        </is>
      </c>
      <c r="B227" s="2" t="inlineStr">
        <is>
          <t>Oliver Hannaford</t>
        </is>
      </c>
      <c r="C227" s="2" t="inlineStr">
        <is>
          <t>GWS</t>
        </is>
      </c>
      <c r="D227" s="2" t="inlineStr">
        <is>
          <t>SF</t>
        </is>
      </c>
      <c r="E227" s="2" t="n">
        <v>20</v>
      </c>
      <c r="F227" s="2" t="inlineStr">
        <is>
          <t>National pick 18</t>
        </is>
      </c>
      <c r="G227" s="3" t="n">
        <v>378</v>
      </c>
      <c r="H227" s="3" t="n">
        <v>309</v>
      </c>
      <c r="I227" s="3">
        <f>H227-G227</f>
        <v/>
      </c>
      <c r="J227" s="4">
        <f>IF(G227=0,"",(H227-G227)/G227)</f>
        <v/>
      </c>
      <c r="K227" s="4">
        <f>IF(G227=0,"",(H227-G227*0.891738)/(G227*0.891738))</f>
        <v/>
      </c>
      <c r="L227" s="3" t="n">
        <v>-36</v>
      </c>
      <c r="M227" s="3" t="n">
        <v>0</v>
      </c>
      <c r="N227" s="3" t="n">
        <v>-35</v>
      </c>
      <c r="O227" s="3" t="n">
        <v>2</v>
      </c>
      <c r="P227" s="3" t="n">
        <v>0</v>
      </c>
      <c r="Q227" s="3">
        <f>SUM(L227:P227)-I227</f>
        <v/>
      </c>
    </row>
    <row r="228">
      <c r="A228" s="2" t="inlineStr">
        <is>
          <t>jake-riccardi</t>
        </is>
      </c>
      <c r="B228" s="2" t="inlineStr">
        <is>
          <t>Jake Riccardi</t>
        </is>
      </c>
      <c r="C228" s="2" t="inlineStr">
        <is>
          <t>GWS</t>
        </is>
      </c>
      <c r="D228" s="2" t="inlineStr">
        <is>
          <t>KPF</t>
        </is>
      </c>
      <c r="E228" s="2" t="n">
        <v>27</v>
      </c>
      <c r="F228" s="2" t="inlineStr">
        <is>
          <t>National pick 50</t>
        </is>
      </c>
      <c r="G228" s="3" t="n">
        <v>278</v>
      </c>
      <c r="H228" s="3" t="n">
        <v>231</v>
      </c>
      <c r="I228" s="3">
        <f>H228-G228</f>
        <v/>
      </c>
      <c r="J228" s="4">
        <f>IF(G228=0,"",(H228-G228)/G228)</f>
        <v/>
      </c>
      <c r="K228" s="4">
        <f>IF(G228=0,"",(H228-G228*0.891738)/(G228*0.891738))</f>
        <v/>
      </c>
      <c r="L228" s="3" t="n">
        <v>-3</v>
      </c>
      <c r="M228" s="3" t="n">
        <v>-16</v>
      </c>
      <c r="N228" s="3" t="n">
        <v>-28</v>
      </c>
      <c r="O228" s="3" t="n">
        <v>0</v>
      </c>
      <c r="P228" s="3" t="n">
        <v>0</v>
      </c>
      <c r="Q228" s="3">
        <f>SUM(L228:P228)-I228</f>
        <v/>
      </c>
    </row>
    <row r="229">
      <c r="A229" s="2" t="inlineStr">
        <is>
          <t>cooper-sharman</t>
        </is>
      </c>
      <c r="B229" s="2" t="inlineStr">
        <is>
          <t>Cooper Sharman</t>
        </is>
      </c>
      <c r="C229" s="2" t="inlineStr">
        <is>
          <t>St Kilda</t>
        </is>
      </c>
      <c r="D229" s="2" t="inlineStr">
        <is>
          <t>KPF</t>
        </is>
      </c>
      <c r="E229" s="2" t="n">
        <v>26</v>
      </c>
      <c r="F229" s="2" t="inlineStr">
        <is>
          <t>Mid-Season pick 18</t>
        </is>
      </c>
      <c r="G229" s="3" t="n">
        <v>542</v>
      </c>
      <c r="H229" s="3" t="n">
        <v>461</v>
      </c>
      <c r="I229" s="3">
        <f>H229-G229</f>
        <v/>
      </c>
      <c r="J229" s="4">
        <f>IF(G229=0,"",(H229-G229)/G229)</f>
        <v/>
      </c>
      <c r="K229" s="4">
        <f>IF(G229=0,"",(H229-G229*0.891738)/(G229*0.891738))</f>
        <v/>
      </c>
      <c r="L229" s="3" t="n">
        <v>-11</v>
      </c>
      <c r="M229" s="3" t="n">
        <v>-14</v>
      </c>
      <c r="N229" s="3" t="n">
        <v>-56</v>
      </c>
      <c r="O229" s="3" t="n">
        <v>0</v>
      </c>
      <c r="P229" s="3" t="n">
        <v>0</v>
      </c>
      <c r="Q229" s="3">
        <f>SUM(L229:P229)-I229</f>
        <v/>
      </c>
    </row>
    <row r="230">
      <c r="A230" s="2" t="inlineStr">
        <is>
          <t>avery-thomas</t>
        </is>
      </c>
      <c r="B230" s="2" t="inlineStr">
        <is>
          <t>Avery Thomas</t>
        </is>
      </c>
      <c r="C230" s="2" t="inlineStr">
        <is>
          <t>Gold Coast</t>
        </is>
      </c>
      <c r="D230" s="2" t="inlineStr">
        <is>
          <t>SD</t>
        </is>
      </c>
      <c r="E230" s="2" t="n">
        <v>19</v>
      </c>
      <c r="F230" s="2" t="inlineStr">
        <is>
          <t>National pick 28</t>
        </is>
      </c>
      <c r="G230" s="3" t="n">
        <v>406</v>
      </c>
      <c r="H230" s="3" t="n">
        <v>389</v>
      </c>
      <c r="I230" s="3">
        <f>H230-G230</f>
        <v/>
      </c>
      <c r="J230" s="4">
        <f>IF(G230=0,"",(H230-G230)/G230)</f>
        <v/>
      </c>
      <c r="K230" s="4">
        <f>IF(G230=0,"",(H230-G230*0.891738)/(G230*0.891738))</f>
        <v/>
      </c>
      <c r="L230" s="3" t="n">
        <v>0</v>
      </c>
      <c r="M230" s="3" t="n">
        <v>0</v>
      </c>
      <c r="N230" s="3" t="n">
        <v>-17</v>
      </c>
      <c r="O230" s="3" t="n">
        <v>0</v>
      </c>
      <c r="P230" s="3" t="n">
        <v>0</v>
      </c>
      <c r="Q230" s="3">
        <f>SUM(L230:P230)-I230</f>
        <v/>
      </c>
    </row>
    <row r="231">
      <c r="A231" s="2" t="inlineStr">
        <is>
          <t>zane-peucker</t>
        </is>
      </c>
      <c r="B231" s="2" t="inlineStr">
        <is>
          <t>Zane Peucker</t>
        </is>
      </c>
      <c r="C231" s="2" t="inlineStr">
        <is>
          <t>Richmond</t>
        </is>
      </c>
      <c r="D231" s="2" t="inlineStr">
        <is>
          <t>SF</t>
        </is>
      </c>
      <c r="E231" s="2" t="n">
        <v>19</v>
      </c>
      <c r="F231" s="2" t="inlineStr">
        <is>
          <t>National pick 31</t>
        </is>
      </c>
      <c r="G231" s="3" t="n">
        <v>493</v>
      </c>
      <c r="H231" s="3" t="n">
        <v>299</v>
      </c>
      <c r="I231" s="3">
        <f>H231-G231</f>
        <v/>
      </c>
      <c r="J231" s="4">
        <f>IF(G231=0,"",(H231-G231)/G231)</f>
        <v/>
      </c>
      <c r="K231" s="4">
        <f>IF(G231=0,"",(H231-G231*0.891738)/(G231*0.891738))</f>
        <v/>
      </c>
      <c r="L231" s="3" t="n">
        <v>-194</v>
      </c>
      <c r="M231" s="3" t="n">
        <v>0</v>
      </c>
      <c r="N231" s="3" t="n">
        <v>-22</v>
      </c>
      <c r="O231" s="3" t="n">
        <v>10</v>
      </c>
      <c r="P231" s="3" t="n">
        <v>12</v>
      </c>
      <c r="Q231" s="3">
        <f>SUM(L231:P231)-I231</f>
        <v/>
      </c>
    </row>
    <row r="232">
      <c r="A232" s="2" t="inlineStr">
        <is>
          <t>william-mccabe</t>
        </is>
      </c>
      <c r="B232" s="2" t="inlineStr">
        <is>
          <t>William McCabe</t>
        </is>
      </c>
      <c r="C232" s="2" t="inlineStr">
        <is>
          <t>Hawthorn</t>
        </is>
      </c>
      <c r="D232" s="2" t="inlineStr">
        <is>
          <t>KPF</t>
        </is>
      </c>
      <c r="E232" s="2" t="n">
        <v>21</v>
      </c>
      <c r="F232" s="2" t="inlineStr">
        <is>
          <t>National pick 19</t>
        </is>
      </c>
      <c r="G232" s="3" t="n">
        <v>647</v>
      </c>
      <c r="H232" s="3" t="n">
        <v>516</v>
      </c>
      <c r="I232" s="3">
        <f>H232-G232</f>
        <v/>
      </c>
      <c r="J232" s="4">
        <f>IF(G232=0,"",(H232-G232)/G232)</f>
        <v/>
      </c>
      <c r="K232" s="4">
        <f>IF(G232=0,"",(H232-G232*0.891738)/(G232*0.891738))</f>
        <v/>
      </c>
      <c r="L232" s="3" t="n">
        <v>-10</v>
      </c>
      <c r="M232" s="3" t="n">
        <v>0</v>
      </c>
      <c r="N232" s="3" t="n">
        <v>-62</v>
      </c>
      <c r="O232" s="3" t="n">
        <v>-31</v>
      </c>
      <c r="P232" s="3" t="n">
        <v>-28</v>
      </c>
      <c r="Q232" s="3">
        <f>SUM(L232:P232)-I232</f>
        <v/>
      </c>
    </row>
    <row r="233">
      <c r="A233" s="2" t="inlineStr">
        <is>
          <t>sam-draper</t>
        </is>
      </c>
      <c r="B233" s="2" t="inlineStr">
        <is>
          <t>Sam Draper</t>
        </is>
      </c>
      <c r="C233" s="2" t="inlineStr">
        <is>
          <t>Brisbane</t>
        </is>
      </c>
      <c r="D233" s="2" t="inlineStr">
        <is>
          <t>RUCK</t>
        </is>
      </c>
      <c r="E233" s="2" t="n">
        <v>28</v>
      </c>
      <c r="F233" s="2" t="inlineStr">
        <is>
          <t>Rookie pick 1</t>
        </is>
      </c>
      <c r="G233" s="3" t="n">
        <v>1139</v>
      </c>
      <c r="H233" s="3" t="n">
        <v>983</v>
      </c>
      <c r="I233" s="3">
        <f>H233-G233</f>
        <v/>
      </c>
      <c r="J233" s="4">
        <f>IF(G233=0,"",(H233-G233)/G233)</f>
        <v/>
      </c>
      <c r="K233" s="4">
        <f>IF(G233=0,"",(H233-G233*0.891738)/(G233*0.891738))</f>
        <v/>
      </c>
      <c r="L233" s="3" t="n">
        <v>-37</v>
      </c>
      <c r="M233" s="3" t="n">
        <v>0</v>
      </c>
      <c r="N233" s="3" t="n">
        <v>-119</v>
      </c>
      <c r="O233" s="3" t="n">
        <v>0</v>
      </c>
      <c r="P233" s="3" t="n">
        <v>0</v>
      </c>
      <c r="Q233" s="3">
        <f>SUM(L233:P233)-I233</f>
        <v/>
      </c>
    </row>
    <row r="234">
      <c r="A234" s="2" t="inlineStr">
        <is>
          <t>adam-cerra</t>
        </is>
      </c>
      <c r="B234" s="2" t="inlineStr">
        <is>
          <t>Adam Cerra</t>
        </is>
      </c>
      <c r="C234" s="2" t="inlineStr">
        <is>
          <t>Carlton</t>
        </is>
      </c>
      <c r="D234" s="2" t="inlineStr">
        <is>
          <t>MID</t>
        </is>
      </c>
      <c r="E234" s="2" t="n">
        <v>27</v>
      </c>
      <c r="F234" s="2" t="inlineStr">
        <is>
          <t>National pick 5</t>
        </is>
      </c>
      <c r="G234" s="3" t="n">
        <v>980</v>
      </c>
      <c r="H234" s="3" t="n">
        <v>861</v>
      </c>
      <c r="I234" s="3">
        <f>H234-G234</f>
        <v/>
      </c>
      <c r="J234" s="4">
        <f>IF(G234=0,"",(H234-G234)/G234)</f>
        <v/>
      </c>
      <c r="K234" s="4">
        <f>IF(G234=0,"",(H234-G234*0.891738)/(G234*0.891738))</f>
        <v/>
      </c>
      <c r="L234" s="3" t="n">
        <v>-15</v>
      </c>
      <c r="M234" s="3" t="n">
        <v>0</v>
      </c>
      <c r="N234" s="3" t="n">
        <v>-104</v>
      </c>
      <c r="O234" s="3" t="n">
        <v>0</v>
      </c>
      <c r="P234" s="3" t="n">
        <v>0</v>
      </c>
      <c r="Q234" s="3">
        <f>SUM(L234:P234)-I234</f>
        <v/>
      </c>
    </row>
    <row r="235">
      <c r="A235" s="2" t="inlineStr">
        <is>
          <t>elijah-tsatas</t>
        </is>
      </c>
      <c r="B235" s="2" t="inlineStr">
        <is>
          <t>Elijah Tsatas</t>
        </is>
      </c>
      <c r="C235" s="2" t="inlineStr">
        <is>
          <t>Essendon</t>
        </is>
      </c>
      <c r="D235" s="2" t="inlineStr">
        <is>
          <t>MID</t>
        </is>
      </c>
      <c r="E235" s="2" t="n">
        <v>22</v>
      </c>
      <c r="F235" s="2" t="inlineStr">
        <is>
          <t>National pick 5</t>
        </is>
      </c>
      <c r="G235" s="3" t="n">
        <v>1272</v>
      </c>
      <c r="H235" s="3" t="n">
        <v>1147</v>
      </c>
      <c r="I235" s="3">
        <f>H235-G235</f>
        <v/>
      </c>
      <c r="J235" s="4">
        <f>IF(G235=0,"",(H235-G235)/G235)</f>
        <v/>
      </c>
      <c r="K235" s="4">
        <f>IF(G235=0,"",(H235-G235*0.891738)/(G235*0.891738))</f>
        <v/>
      </c>
      <c r="L235" s="3" t="n">
        <v>15</v>
      </c>
      <c r="M235" s="3" t="n">
        <v>0</v>
      </c>
      <c r="N235" s="3" t="n">
        <v>-140</v>
      </c>
      <c r="O235" s="3" t="n">
        <v>0</v>
      </c>
      <c r="P235" s="3" t="n">
        <v>0</v>
      </c>
      <c r="Q235" s="3">
        <f>SUM(L235:P235)-I235</f>
        <v/>
      </c>
    </row>
    <row r="236">
      <c r="A236" s="2" t="inlineStr">
        <is>
          <t>sam-allen</t>
        </is>
      </c>
      <c r="B236" s="2" t="inlineStr">
        <is>
          <t>Sam Allen</t>
        </is>
      </c>
      <c r="C236" s="2" t="inlineStr">
        <is>
          <t>West Coast</t>
        </is>
      </c>
      <c r="D236" s="2" t="inlineStr">
        <is>
          <t>MID</t>
        </is>
      </c>
      <c r="E236" s="2" t="n">
        <v>19</v>
      </c>
      <c r="F236" s="2" t="inlineStr">
        <is>
          <t>National pick 29</t>
        </is>
      </c>
      <c r="G236" s="3" t="n">
        <v>636</v>
      </c>
      <c r="H236" s="3" t="n">
        <v>605</v>
      </c>
      <c r="I236" s="3">
        <f>H236-G236</f>
        <v/>
      </c>
      <c r="J236" s="4">
        <f>IF(G236=0,"",(H236-G236)/G236)</f>
        <v/>
      </c>
      <c r="K236" s="4">
        <f>IF(G236=0,"",(H236-G236*0.891738)/(G236*0.891738))</f>
        <v/>
      </c>
      <c r="L236" s="3" t="n">
        <v>0</v>
      </c>
      <c r="M236" s="3" t="n">
        <v>0</v>
      </c>
      <c r="N236" s="3" t="n">
        <v>-31</v>
      </c>
      <c r="O236" s="3" t="n">
        <v>0</v>
      </c>
      <c r="P236" s="3" t="n">
        <v>0</v>
      </c>
      <c r="Q236" s="3">
        <f>SUM(L236:P236)-I236</f>
        <v/>
      </c>
    </row>
    <row r="237">
      <c r="A237" s="2" t="inlineStr">
        <is>
          <t>lawson-humphries</t>
        </is>
      </c>
      <c r="B237" s="2" t="inlineStr">
        <is>
          <t>Lawson Humphries</t>
        </is>
      </c>
      <c r="C237" s="2" t="inlineStr">
        <is>
          <t>Geelong</t>
        </is>
      </c>
      <c r="D237" s="2" t="inlineStr">
        <is>
          <t>SD</t>
        </is>
      </c>
      <c r="E237" s="2" t="n">
        <v>23</v>
      </c>
      <c r="F237" s="2" t="inlineStr">
        <is>
          <t>National pick 63</t>
        </is>
      </c>
      <c r="G237" s="3" t="n">
        <v>1849</v>
      </c>
      <c r="H237" s="3" t="n">
        <v>1632</v>
      </c>
      <c r="I237" s="3">
        <f>H237-G237</f>
        <v/>
      </c>
      <c r="J237" s="4">
        <f>IF(G237=0,"",(H237-G237)/G237)</f>
        <v/>
      </c>
      <c r="K237" s="4">
        <f>IF(G237=0,"",(H237-G237*0.891738)/(G237*0.891738))</f>
        <v/>
      </c>
      <c r="L237" s="3" t="n">
        <v>-18</v>
      </c>
      <c r="M237" s="3" t="n">
        <v>0</v>
      </c>
      <c r="N237" s="3" t="n">
        <v>-199</v>
      </c>
      <c r="O237" s="3" t="n">
        <v>0</v>
      </c>
      <c r="P237" s="3" t="n">
        <v>0</v>
      </c>
      <c r="Q237" s="3">
        <f>SUM(L237:P237)-I237</f>
        <v/>
      </c>
    </row>
    <row r="238">
      <c r="A238" s="2" t="inlineStr">
        <is>
          <t>bailey-humphrey</t>
        </is>
      </c>
      <c r="B238" s="2" t="inlineStr">
        <is>
          <t>Bailey Humphrey</t>
        </is>
      </c>
      <c r="C238" s="2" t="inlineStr">
        <is>
          <t>Gold Coast</t>
        </is>
      </c>
      <c r="D238" s="2" t="inlineStr">
        <is>
          <t>MID</t>
        </is>
      </c>
      <c r="E238" s="2" t="n">
        <v>22</v>
      </c>
      <c r="F238" s="2" t="inlineStr">
        <is>
          <t>National pick 6</t>
        </is>
      </c>
      <c r="G238" s="3" t="n">
        <v>2422</v>
      </c>
      <c r="H238" s="3" t="n">
        <v>2124</v>
      </c>
      <c r="I238" s="3">
        <f>H238-G238</f>
        <v/>
      </c>
      <c r="J238" s="4">
        <f>IF(G238=0,"",(H238-G238)/G238)</f>
        <v/>
      </c>
      <c r="K238" s="4">
        <f>IF(G238=0,"",(H238-G238*0.891738)/(G238*0.891738))</f>
        <v/>
      </c>
      <c r="L238" s="3" t="n">
        <v>-40</v>
      </c>
      <c r="M238" s="3" t="n">
        <v>0</v>
      </c>
      <c r="N238" s="3" t="n">
        <v>-258</v>
      </c>
      <c r="O238" s="3" t="n">
        <v>0</v>
      </c>
      <c r="P238" s="3" t="n">
        <v>0</v>
      </c>
      <c r="Q238" s="3">
        <f>SUM(L238:P238)-I238</f>
        <v/>
      </c>
    </row>
    <row r="239">
      <c r="A239" s="2" t="inlineStr">
        <is>
          <t>marcus-windhager</t>
        </is>
      </c>
      <c r="B239" s="2" t="inlineStr">
        <is>
          <t>Marcus Windhager</t>
        </is>
      </c>
      <c r="C239" s="2" t="inlineStr">
        <is>
          <t>St Kilda</t>
        </is>
      </c>
      <c r="D239" s="2" t="inlineStr">
        <is>
          <t>MID</t>
        </is>
      </c>
      <c r="E239" s="2" t="n">
        <v>23</v>
      </c>
      <c r="F239" s="2" t="inlineStr">
        <is>
          <t>National pick 47</t>
        </is>
      </c>
      <c r="G239" s="3" t="n">
        <v>1844</v>
      </c>
      <c r="H239" s="3" t="n">
        <v>1613</v>
      </c>
      <c r="I239" s="3">
        <f>H239-G239</f>
        <v/>
      </c>
      <c r="J239" s="4">
        <f>IF(G239=0,"",(H239-G239)/G239)</f>
        <v/>
      </c>
      <c r="K239" s="4">
        <f>IF(G239=0,"",(H239-G239*0.891738)/(G239*0.891738))</f>
        <v/>
      </c>
      <c r="L239" s="3" t="n">
        <v>-36</v>
      </c>
      <c r="M239" s="3" t="n">
        <v>0</v>
      </c>
      <c r="N239" s="3" t="n">
        <v>-195</v>
      </c>
      <c r="O239" s="3" t="n">
        <v>0</v>
      </c>
      <c r="P239" s="3" t="n">
        <v>0</v>
      </c>
      <c r="Q239" s="3">
        <f>SUM(L239:P239)-I239</f>
        <v/>
      </c>
    </row>
    <row r="240">
      <c r="A240" s="2" t="inlineStr">
        <is>
          <t>toby-greene</t>
        </is>
      </c>
      <c r="B240" s="2" t="inlineStr">
        <is>
          <t>Toby Greene</t>
        </is>
      </c>
      <c r="C240" s="2" t="inlineStr">
        <is>
          <t>GWS</t>
        </is>
      </c>
      <c r="D240" s="2" t="inlineStr">
        <is>
          <t>SF</t>
        </is>
      </c>
      <c r="E240" s="2" t="n">
        <v>33</v>
      </c>
      <c r="F240" s="2" t="inlineStr">
        <is>
          <t>National pick 17</t>
        </is>
      </c>
      <c r="G240" s="3" t="n">
        <v>839</v>
      </c>
      <c r="H240" s="3" t="n">
        <v>737</v>
      </c>
      <c r="I240" s="3">
        <f>H240-G240</f>
        <v/>
      </c>
      <c r="J240" s="4">
        <f>IF(G240=0,"",(H240-G240)/G240)</f>
        <v/>
      </c>
      <c r="K240" s="4">
        <f>IF(G240=0,"",(H240-G240*0.891738)/(G240*0.891738))</f>
        <v/>
      </c>
      <c r="L240" s="3" t="n">
        <v>-12</v>
      </c>
      <c r="M240" s="3" t="n">
        <v>0</v>
      </c>
      <c r="N240" s="3" t="n">
        <v>-90</v>
      </c>
      <c r="O240" s="3" t="n">
        <v>0</v>
      </c>
      <c r="P240" s="3" t="n">
        <v>0</v>
      </c>
      <c r="Q240" s="3">
        <f>SUM(L240:P240)-I240</f>
        <v/>
      </c>
    </row>
    <row r="241">
      <c r="A241" s="2" t="inlineStr">
        <is>
          <t>jesse-dattoli</t>
        </is>
      </c>
      <c r="B241" s="2" t="inlineStr">
        <is>
          <t>Jesse Dattoli</t>
        </is>
      </c>
      <c r="C241" s="2" t="inlineStr">
        <is>
          <t>Sydney</t>
        </is>
      </c>
      <c r="D241" s="2" t="inlineStr">
        <is>
          <t>SF</t>
        </is>
      </c>
      <c r="E241" s="2" t="n">
        <v>20</v>
      </c>
      <c r="F241" s="2" t="inlineStr">
        <is>
          <t>National pick 22</t>
        </is>
      </c>
      <c r="G241" s="3" t="n">
        <v>326</v>
      </c>
      <c r="H241" s="3" t="n">
        <v>314</v>
      </c>
      <c r="I241" s="3">
        <f>H241-G241</f>
        <v/>
      </c>
      <c r="J241" s="4">
        <f>IF(G241=0,"",(H241-G241)/G241)</f>
        <v/>
      </c>
      <c r="K241" s="4">
        <f>IF(G241=0,"",(H241-G241*0.891738)/(G241*0.891738))</f>
        <v/>
      </c>
      <c r="L241" s="3" t="n">
        <v>0</v>
      </c>
      <c r="M241" s="3" t="n">
        <v>0</v>
      </c>
      <c r="N241" s="3" t="n">
        <v>-12</v>
      </c>
      <c r="O241" s="3" t="n">
        <v>0</v>
      </c>
      <c r="P241" s="3" t="n">
        <v>0</v>
      </c>
      <c r="Q241" s="3">
        <f>SUM(L241:P241)-I241</f>
        <v/>
      </c>
    </row>
    <row r="242">
      <c r="A242" s="2" t="inlineStr">
        <is>
          <t>shaun-mannagh</t>
        </is>
      </c>
      <c r="B242" s="2" t="inlineStr">
        <is>
          <t>Shaun Mannagh</t>
        </is>
      </c>
      <c r="C242" s="2" t="inlineStr">
        <is>
          <t>Geelong</t>
        </is>
      </c>
      <c r="D242" s="2" t="inlineStr">
        <is>
          <t>SF</t>
        </is>
      </c>
      <c r="E242" s="2" t="n">
        <v>29</v>
      </c>
      <c r="F242" s="2" t="inlineStr">
        <is>
          <t>National pick 36</t>
        </is>
      </c>
      <c r="G242" s="3" t="n">
        <v>543</v>
      </c>
      <c r="H242" s="3" t="n">
        <v>460</v>
      </c>
      <c r="I242" s="3">
        <f>H242-G242</f>
        <v/>
      </c>
      <c r="J242" s="4">
        <f>IF(G242=0,"",(H242-G242)/G242)</f>
        <v/>
      </c>
      <c r="K242" s="4">
        <f>IF(G242=0,"",(H242-G242*0.891738)/(G242*0.891738))</f>
        <v/>
      </c>
      <c r="L242" s="3" t="n">
        <v>-27</v>
      </c>
      <c r="M242" s="3" t="n">
        <v>0</v>
      </c>
      <c r="N242" s="3" t="n">
        <v>-56</v>
      </c>
      <c r="O242" s="3" t="n">
        <v>0</v>
      </c>
      <c r="P242" s="3" t="n">
        <v>0</v>
      </c>
      <c r="Q242" s="3">
        <f>SUM(L242:P242)-I242</f>
        <v/>
      </c>
    </row>
    <row r="243">
      <c r="A243" s="2" t="inlineStr">
        <is>
          <t>daniel-turner</t>
        </is>
      </c>
      <c r="B243" s="2" t="inlineStr">
        <is>
          <t>Daniel Turner</t>
        </is>
      </c>
      <c r="C243" s="2" t="inlineStr">
        <is>
          <t>Melbourne</t>
        </is>
      </c>
      <c r="D243" s="2" t="inlineStr">
        <is>
          <t>KPD</t>
        </is>
      </c>
      <c r="E243" s="2" t="n">
        <v>24</v>
      </c>
      <c r="F243" s="2" t="inlineStr">
        <is>
          <t>Mid-Season pick 20</t>
        </is>
      </c>
      <c r="G243" s="3" t="n">
        <v>1607</v>
      </c>
      <c r="H243" s="3" t="n">
        <v>1393</v>
      </c>
      <c r="I243" s="3">
        <f>H243-G243</f>
        <v/>
      </c>
      <c r="J243" s="4">
        <f>IF(G243=0,"",(H243-G243)/G243)</f>
        <v/>
      </c>
      <c r="K243" s="4">
        <f>IF(G243=0,"",(H243-G243*0.891738)/(G243*0.891738))</f>
        <v/>
      </c>
      <c r="L243" s="3" t="n">
        <v>-45</v>
      </c>
      <c r="M243" s="3" t="n">
        <v>0</v>
      </c>
      <c r="N243" s="3" t="n">
        <v>-169</v>
      </c>
      <c r="O243" s="3" t="n">
        <v>0</v>
      </c>
      <c r="P243" s="3" t="n">
        <v>0</v>
      </c>
      <c r="Q243" s="3">
        <f>SUM(L243:P243)-I243</f>
        <v/>
      </c>
    </row>
    <row r="244">
      <c r="A244" s="2" t="inlineStr">
        <is>
          <t>thomas-matthews</t>
        </is>
      </c>
      <c r="B244" s="2" t="inlineStr">
        <is>
          <t>Thomas Matthews</t>
        </is>
      </c>
      <c r="C244" s="2" t="inlineStr">
        <is>
          <t>Melbourne</t>
        </is>
      </c>
      <c r="D244" s="2" t="inlineStr">
        <is>
          <t>SF</t>
        </is>
      </c>
      <c r="E244" s="2" t="n">
        <v>19</v>
      </c>
      <c r="F244" s="2" t="inlineStr">
        <is>
          <t>National pick 30</t>
        </is>
      </c>
      <c r="G244" s="3" t="n">
        <v>347</v>
      </c>
      <c r="H244" s="3" t="n">
        <v>333</v>
      </c>
      <c r="I244" s="3">
        <f>H244-G244</f>
        <v/>
      </c>
      <c r="J244" s="4">
        <f>IF(G244=0,"",(H244-G244)/G244)</f>
        <v/>
      </c>
      <c r="K244" s="4">
        <f>IF(G244=0,"",(H244-G244*0.891738)/(G244*0.891738))</f>
        <v/>
      </c>
      <c r="L244" s="3" t="n">
        <v>0</v>
      </c>
      <c r="M244" s="3" t="n">
        <v>0</v>
      </c>
      <c r="N244" s="3" t="n">
        <v>-14</v>
      </c>
      <c r="O244" s="3" t="n">
        <v>0</v>
      </c>
      <c r="P244" s="3" t="n">
        <v>0</v>
      </c>
      <c r="Q244" s="3">
        <f>SUM(L244:P244)-I244</f>
        <v/>
      </c>
    </row>
    <row r="245">
      <c r="A245" s="2" t="inlineStr">
        <is>
          <t>jack-whitlock</t>
        </is>
      </c>
      <c r="B245" s="2" t="inlineStr">
        <is>
          <t>Jack Whitlock</t>
        </is>
      </c>
      <c r="C245" s="2" t="inlineStr">
        <is>
          <t>Port Adelaide</t>
        </is>
      </c>
      <c r="D245" s="2" t="inlineStr">
        <is>
          <t>KPF</t>
        </is>
      </c>
      <c r="E245" s="2" t="n">
        <v>20</v>
      </c>
      <c r="F245" s="2" t="inlineStr">
        <is>
          <t>National pick 33</t>
        </is>
      </c>
      <c r="G245" s="3" t="n">
        <v>1233</v>
      </c>
      <c r="H245" s="3" t="n">
        <v>911</v>
      </c>
      <c r="I245" s="3">
        <f>H245-G245</f>
        <v/>
      </c>
      <c r="J245" s="4">
        <f>IF(G245=0,"",(H245-G245)/G245)</f>
        <v/>
      </c>
      <c r="K245" s="4">
        <f>IF(G245=0,"",(H245-G245*0.891738)/(G245*0.891738))</f>
        <v/>
      </c>
      <c r="L245" s="3" t="n">
        <v>-211</v>
      </c>
      <c r="M245" s="3" t="n">
        <v>0</v>
      </c>
      <c r="N245" s="3" t="n">
        <v>-111</v>
      </c>
      <c r="O245" s="3" t="n">
        <v>0</v>
      </c>
      <c r="P245" s="3" t="n">
        <v>0</v>
      </c>
      <c r="Q245" s="3">
        <f>SUM(L245:P245)-I245</f>
        <v/>
      </c>
    </row>
    <row r="246">
      <c r="A246" s="2" t="inlineStr">
        <is>
          <t>jake-rogers</t>
        </is>
      </c>
      <c r="B246" s="2" t="inlineStr">
        <is>
          <t>Jake Rogers</t>
        </is>
      </c>
      <c r="C246" s="2" t="inlineStr">
        <is>
          <t>Gold Coast</t>
        </is>
      </c>
      <c r="D246" s="2" t="inlineStr">
        <is>
          <t>SF</t>
        </is>
      </c>
      <c r="E246" s="2" t="n">
        <v>21</v>
      </c>
      <c r="F246" s="2" t="inlineStr">
        <is>
          <t>National pick 14</t>
        </is>
      </c>
      <c r="G246" s="3" t="n">
        <v>539</v>
      </c>
      <c r="H246" s="3" t="n">
        <v>454</v>
      </c>
      <c r="I246" s="3">
        <f>H246-G246</f>
        <v/>
      </c>
      <c r="J246" s="4">
        <f>IF(G246=0,"",(H246-G246)/G246)</f>
        <v/>
      </c>
      <c r="K246" s="4">
        <f>IF(G246=0,"",(H246-G246*0.891738)/(G246*0.891738))</f>
        <v/>
      </c>
      <c r="L246" s="3" t="n">
        <v>-29</v>
      </c>
      <c r="M246" s="3" t="n">
        <v>0</v>
      </c>
      <c r="N246" s="3" t="n">
        <v>-56</v>
      </c>
      <c r="O246" s="3" t="n">
        <v>0</v>
      </c>
      <c r="P246" s="3" t="n">
        <v>0</v>
      </c>
      <c r="Q246" s="3">
        <f>SUM(L246:P246)-I246</f>
        <v/>
      </c>
    </row>
    <row r="247">
      <c r="A247" s="2" t="inlineStr">
        <is>
          <t>harry-barnett</t>
        </is>
      </c>
      <c r="B247" s="2" t="inlineStr">
        <is>
          <t>Harry Barnett</t>
        </is>
      </c>
      <c r="C247" s="2" t="inlineStr">
        <is>
          <t>West Coast</t>
        </is>
      </c>
      <c r="D247" s="2" t="inlineStr">
        <is>
          <t>RUCK</t>
        </is>
      </c>
      <c r="E247" s="2" t="n">
        <v>22</v>
      </c>
      <c r="F247" s="2" t="inlineStr">
        <is>
          <t>National pick 23</t>
        </is>
      </c>
      <c r="G247" s="3" t="n">
        <v>555</v>
      </c>
      <c r="H247" s="3" t="n">
        <v>534</v>
      </c>
      <c r="I247" s="3">
        <f>H247-G247</f>
        <v/>
      </c>
      <c r="J247" s="4">
        <f>IF(G247=0,"",(H247-G247)/G247)</f>
        <v/>
      </c>
      <c r="K247" s="4">
        <f>IF(G247=0,"",(H247-G247*0.891738)/(G247*0.891738))</f>
        <v/>
      </c>
      <c r="L247" s="3" t="n">
        <v>0</v>
      </c>
      <c r="M247" s="3" t="n">
        <v>0</v>
      </c>
      <c r="N247" s="3" t="n">
        <v>-21</v>
      </c>
      <c r="O247" s="3" t="n">
        <v>0</v>
      </c>
      <c r="P247" s="3" t="n">
        <v>0</v>
      </c>
      <c r="Q247" s="3">
        <f>SUM(L247:P247)-I247</f>
        <v/>
      </c>
    </row>
    <row r="248">
      <c r="A248" s="2" t="inlineStr">
        <is>
          <t>cody-angove</t>
        </is>
      </c>
      <c r="B248" s="2" t="inlineStr">
        <is>
          <t>Cody Angove</t>
        </is>
      </c>
      <c r="C248" s="2" t="inlineStr">
        <is>
          <t>GWS</t>
        </is>
      </c>
      <c r="D248" s="2" t="inlineStr">
        <is>
          <t>MID</t>
        </is>
      </c>
      <c r="E248" s="2" t="n">
        <v>20</v>
      </c>
      <c r="F248" s="2" t="inlineStr">
        <is>
          <t>National pick 24</t>
        </is>
      </c>
      <c r="G248" s="3" t="n">
        <v>495</v>
      </c>
      <c r="H248" s="3" t="n">
        <v>474</v>
      </c>
      <c r="I248" s="3">
        <f>H248-G248</f>
        <v/>
      </c>
      <c r="J248" s="4">
        <f>IF(G248=0,"",(H248-G248)/G248)</f>
        <v/>
      </c>
      <c r="K248" s="4">
        <f>IF(G248=0,"",(H248-G248*0.891738)/(G248*0.891738))</f>
        <v/>
      </c>
      <c r="L248" s="3" t="n">
        <v>0</v>
      </c>
      <c r="M248" s="3" t="n">
        <v>0</v>
      </c>
      <c r="N248" s="3" t="n">
        <v>-21</v>
      </c>
      <c r="O248" s="3" t="n">
        <v>0</v>
      </c>
      <c r="P248" s="3" t="n">
        <v>0</v>
      </c>
      <c r="Q248" s="3">
        <f>SUM(L248:P248)-I248</f>
        <v/>
      </c>
    </row>
    <row r="249">
      <c r="A249" s="2" t="inlineStr">
        <is>
          <t>ned-bowman</t>
        </is>
      </c>
      <c r="B249" s="2" t="inlineStr">
        <is>
          <t>Ned Bowman</t>
        </is>
      </c>
      <c r="C249" s="2" t="inlineStr">
        <is>
          <t>Sydney</t>
        </is>
      </c>
      <c r="D249" s="2" t="inlineStr">
        <is>
          <t>SF</t>
        </is>
      </c>
      <c r="E249" s="2" t="n">
        <v>20</v>
      </c>
      <c r="F249" s="2" t="inlineStr">
        <is>
          <t>National pick 26</t>
        </is>
      </c>
      <c r="G249" s="3" t="n">
        <v>263</v>
      </c>
      <c r="H249" s="3" t="n">
        <v>253</v>
      </c>
      <c r="I249" s="3">
        <f>H249-G249</f>
        <v/>
      </c>
      <c r="J249" s="4">
        <f>IF(G249=0,"",(H249-G249)/G249)</f>
        <v/>
      </c>
      <c r="K249" s="4">
        <f>IF(G249=0,"",(H249-G249*0.891738)/(G249*0.891738))</f>
        <v/>
      </c>
      <c r="L249" s="3" t="n">
        <v>0</v>
      </c>
      <c r="M249" s="3" t="n">
        <v>0</v>
      </c>
      <c r="N249" s="3" t="n">
        <v>-10</v>
      </c>
      <c r="O249" s="3" t="n">
        <v>0</v>
      </c>
      <c r="P249" s="3" t="n">
        <v>0</v>
      </c>
      <c r="Q249" s="3">
        <f>SUM(L249:P249)-I249</f>
        <v/>
      </c>
    </row>
    <row r="250">
      <c r="A250" s="2" t="inlineStr">
        <is>
          <t>tyan-prindable</t>
        </is>
      </c>
      <c r="B250" s="2" t="inlineStr">
        <is>
          <t>Tyan Prindable</t>
        </is>
      </c>
      <c r="C250" s="2" t="inlineStr">
        <is>
          <t>Collingwood</t>
        </is>
      </c>
      <c r="D250" s="2" t="inlineStr">
        <is>
          <t>MID</t>
        </is>
      </c>
      <c r="E250" s="2" t="n">
        <v>19</v>
      </c>
      <c r="F250" s="2" t="inlineStr">
        <is>
          <t>National pick 32</t>
        </is>
      </c>
      <c r="G250" s="3" t="n">
        <v>560</v>
      </c>
      <c r="H250" s="3" t="n">
        <v>531</v>
      </c>
      <c r="I250" s="3">
        <f>H250-G250</f>
        <v/>
      </c>
      <c r="J250" s="4">
        <f>IF(G250=0,"",(H250-G250)/G250)</f>
        <v/>
      </c>
      <c r="K250" s="4">
        <f>IF(G250=0,"",(H250-G250*0.891738)/(G250*0.891738))</f>
        <v/>
      </c>
      <c r="L250" s="3" t="n">
        <v>0</v>
      </c>
      <c r="M250" s="3" t="n">
        <v>0</v>
      </c>
      <c r="N250" s="3" t="n">
        <v>-29</v>
      </c>
      <c r="O250" s="3" t="n">
        <v>0</v>
      </c>
      <c r="P250" s="3" t="n">
        <v>0</v>
      </c>
      <c r="Q250" s="3">
        <f>SUM(L250:P250)-I250</f>
        <v/>
      </c>
    </row>
    <row r="251">
      <c r="A251" s="2" t="inlineStr">
        <is>
          <t>kane-farrell</t>
        </is>
      </c>
      <c r="B251" s="2" t="inlineStr">
        <is>
          <t>Kane Farrell</t>
        </is>
      </c>
      <c r="C251" s="2" t="inlineStr">
        <is>
          <t>Port Adelaide</t>
        </is>
      </c>
      <c r="D251" s="2" t="inlineStr">
        <is>
          <t>SD</t>
        </is>
      </c>
      <c r="E251" s="2" t="n">
        <v>27</v>
      </c>
      <c r="F251" s="2" t="inlineStr">
        <is>
          <t>National pick 51</t>
        </is>
      </c>
      <c r="G251" s="3" t="n">
        <v>1324</v>
      </c>
      <c r="H251" s="3" t="n">
        <v>1165</v>
      </c>
      <c r="I251" s="3">
        <f>H251-G251</f>
        <v/>
      </c>
      <c r="J251" s="4">
        <f>IF(G251=0,"",(H251-G251)/G251)</f>
        <v/>
      </c>
      <c r="K251" s="4">
        <f>IF(G251=0,"",(H251-G251*0.891738)/(G251*0.891738))</f>
        <v/>
      </c>
      <c r="L251" s="3" t="n">
        <v>-17</v>
      </c>
      <c r="M251" s="3" t="n">
        <v>0</v>
      </c>
      <c r="N251" s="3" t="n">
        <v>-142</v>
      </c>
      <c r="O251" s="3" t="n">
        <v>0</v>
      </c>
      <c r="P251" s="3" t="n">
        <v>0</v>
      </c>
      <c r="Q251" s="3">
        <f>SUM(L251:P251)-I251</f>
        <v/>
      </c>
    </row>
    <row r="252">
      <c r="A252" s="2" t="inlineStr">
        <is>
          <t>sam-marshall</t>
        </is>
      </c>
      <c r="B252" s="2" t="inlineStr">
        <is>
          <t>Sam Marshall</t>
        </is>
      </c>
      <c r="C252" s="2" t="inlineStr">
        <is>
          <t>Brisbane</t>
        </is>
      </c>
      <c r="D252" s="2" t="inlineStr">
        <is>
          <t>MID</t>
        </is>
      </c>
      <c r="E252" s="2" t="n">
        <v>20</v>
      </c>
      <c r="F252" s="2" t="inlineStr">
        <is>
          <t>National pick 25</t>
        </is>
      </c>
      <c r="G252" s="3" t="n">
        <v>821</v>
      </c>
      <c r="H252" s="3" t="n">
        <v>620</v>
      </c>
      <c r="I252" s="3">
        <f>H252-G252</f>
        <v/>
      </c>
      <c r="J252" s="4">
        <f>IF(G252=0,"",(H252-G252)/G252)</f>
        <v/>
      </c>
      <c r="K252" s="4">
        <f>IF(G252=0,"",(H252-G252*0.891738)/(G252*0.891738))</f>
        <v/>
      </c>
      <c r="L252" s="3" t="n">
        <v>-126</v>
      </c>
      <c r="M252" s="3" t="n">
        <v>0</v>
      </c>
      <c r="N252" s="3" t="n">
        <v>-75</v>
      </c>
      <c r="O252" s="3" t="n">
        <v>0</v>
      </c>
      <c r="P252" s="3" t="n">
        <v>0</v>
      </c>
      <c r="Q252" s="3">
        <f>SUM(L252:P252)-I252</f>
        <v/>
      </c>
    </row>
    <row r="253">
      <c r="A253" s="2" t="inlineStr">
        <is>
          <t>ty-gallop</t>
        </is>
      </c>
      <c r="B253" s="2" t="inlineStr">
        <is>
          <t>Ty Gallop</t>
        </is>
      </c>
      <c r="C253" s="2" t="inlineStr">
        <is>
          <t>Brisbane</t>
        </is>
      </c>
      <c r="D253" s="2" t="inlineStr">
        <is>
          <t>KPF</t>
        </is>
      </c>
      <c r="E253" s="2" t="n">
        <v>20</v>
      </c>
      <c r="F253" s="2" t="inlineStr">
        <is>
          <t>National pick 42</t>
        </is>
      </c>
      <c r="G253" s="3" t="n">
        <v>1396</v>
      </c>
      <c r="H253" s="3" t="n">
        <v>1056</v>
      </c>
      <c r="I253" s="3">
        <f>H253-G253</f>
        <v/>
      </c>
      <c r="J253" s="4">
        <f>IF(G253=0,"",(H253-G253)/G253)</f>
        <v/>
      </c>
      <c r="K253" s="4">
        <f>IF(G253=0,"",(H253-G253*0.891738)/(G253*0.891738))</f>
        <v/>
      </c>
      <c r="L253" s="3" t="n">
        <v>-213</v>
      </c>
      <c r="M253" s="3" t="n">
        <v>0</v>
      </c>
      <c r="N253" s="3" t="n">
        <v>-127</v>
      </c>
      <c r="O253" s="3" t="n">
        <v>0</v>
      </c>
      <c r="P253" s="3" t="n">
        <v>0</v>
      </c>
      <c r="Q253" s="3">
        <f>SUM(L253:P253)-I253</f>
        <v/>
      </c>
    </row>
    <row r="254">
      <c r="A254" s="2" t="inlineStr">
        <is>
          <t>james-barrat</t>
        </is>
      </c>
      <c r="B254" s="2" t="inlineStr">
        <is>
          <t>James Barrat</t>
        </is>
      </c>
      <c r="C254" s="2" t="inlineStr">
        <is>
          <t>St Kilda</t>
        </is>
      </c>
      <c r="D254" s="2" t="inlineStr">
        <is>
          <t>KPD</t>
        </is>
      </c>
      <c r="E254" s="2" t="n">
        <v>20</v>
      </c>
      <c r="F254" s="2" t="inlineStr">
        <is>
          <t>National pick 32</t>
        </is>
      </c>
      <c r="G254" s="3" t="n">
        <v>231</v>
      </c>
      <c r="H254" s="3" t="n">
        <v>220</v>
      </c>
      <c r="I254" s="3">
        <f>H254-G254</f>
        <v/>
      </c>
      <c r="J254" s="4">
        <f>IF(G254=0,"",(H254-G254)/G254)</f>
        <v/>
      </c>
      <c r="K254" s="4">
        <f>IF(G254=0,"",(H254-G254*0.891738)/(G254*0.891738))</f>
        <v/>
      </c>
      <c r="L254" s="3" t="n">
        <v>0</v>
      </c>
      <c r="M254" s="3" t="n">
        <v>0</v>
      </c>
      <c r="N254" s="3" t="n">
        <v>-11</v>
      </c>
      <c r="O254" s="3" t="n">
        <v>0</v>
      </c>
      <c r="P254" s="3" t="n">
        <v>0</v>
      </c>
      <c r="Q254" s="3">
        <f>SUM(L254:P254)-I254</f>
        <v/>
      </c>
    </row>
    <row r="255">
      <c r="A255" s="2" t="inlineStr">
        <is>
          <t>ned-moyle</t>
        </is>
      </c>
      <c r="B255" s="2" t="inlineStr">
        <is>
          <t>Ned Moyle</t>
        </is>
      </c>
      <c r="C255" s="2" t="inlineStr">
        <is>
          <t>Gold Coast</t>
        </is>
      </c>
      <c r="D255" s="2" t="inlineStr">
        <is>
          <t>RUCK</t>
        </is>
      </c>
      <c r="E255" s="2" t="n">
        <v>24</v>
      </c>
      <c r="F255" s="2" t="inlineStr">
        <is>
          <t>Mid-Season pick 5</t>
        </is>
      </c>
      <c r="G255" s="3" t="n">
        <v>2053</v>
      </c>
      <c r="H255" s="3" t="n">
        <v>1669</v>
      </c>
      <c r="I255" s="3">
        <f>H255-G255</f>
        <v/>
      </c>
      <c r="J255" s="4">
        <f>IF(G255=0,"",(H255-G255)/G255)</f>
        <v/>
      </c>
      <c r="K255" s="4">
        <f>IF(G255=0,"",(H255-G255*0.891738)/(G255*0.891738))</f>
        <v/>
      </c>
      <c r="L255" s="3" t="n">
        <v>-182</v>
      </c>
      <c r="M255" s="3" t="n">
        <v>0</v>
      </c>
      <c r="N255" s="3" t="n">
        <v>-202</v>
      </c>
      <c r="O255" s="3" t="n">
        <v>0</v>
      </c>
      <c r="P255" s="3" t="n">
        <v>0</v>
      </c>
      <c r="Q255" s="3">
        <f>SUM(L255:P255)-I255</f>
        <v/>
      </c>
    </row>
    <row r="256">
      <c r="A256" s="2" t="inlineStr">
        <is>
          <t>riley-bice</t>
        </is>
      </c>
      <c r="B256" s="2" t="inlineStr">
        <is>
          <t>Riley Bice</t>
        </is>
      </c>
      <c r="C256" s="2" t="inlineStr">
        <is>
          <t>Sydney</t>
        </is>
      </c>
      <c r="D256" s="2" t="inlineStr">
        <is>
          <t>SD</t>
        </is>
      </c>
      <c r="E256" s="2" t="n">
        <v>26</v>
      </c>
      <c r="F256" s="2" t="inlineStr">
        <is>
          <t>National pick 41</t>
        </is>
      </c>
      <c r="G256" s="3" t="n">
        <v>237</v>
      </c>
      <c r="H256" s="3" t="n">
        <v>194</v>
      </c>
      <c r="I256" s="3">
        <f>H256-G256</f>
        <v/>
      </c>
      <c r="J256" s="4">
        <f>IF(G256=0,"",(H256-G256)/G256)</f>
        <v/>
      </c>
      <c r="K256" s="4">
        <f>IF(G256=0,"",(H256-G256*0.891738)/(G256*0.891738))</f>
        <v/>
      </c>
      <c r="L256" s="3" t="n">
        <v>-19</v>
      </c>
      <c r="M256" s="3" t="n">
        <v>0</v>
      </c>
      <c r="N256" s="3" t="n">
        <v>-24</v>
      </c>
      <c r="O256" s="3" t="n">
        <v>0</v>
      </c>
      <c r="P256" s="3" t="n">
        <v>0</v>
      </c>
      <c r="Q256" s="3">
        <f>SUM(L256:P256)-I256</f>
        <v/>
      </c>
    </row>
    <row r="257">
      <c r="A257" s="2" t="inlineStr">
        <is>
          <t>hunter-holmes</t>
        </is>
      </c>
      <c r="B257" s="2" t="inlineStr">
        <is>
          <t>Hunter Holmes</t>
        </is>
      </c>
      <c r="C257" s="2" t="inlineStr">
        <is>
          <t>Geelong</t>
        </is>
      </c>
      <c r="D257" s="2" t="inlineStr">
        <is>
          <t>MID</t>
        </is>
      </c>
      <c r="E257" s="2" t="n">
        <v>19</v>
      </c>
      <c r="F257" s="2" t="inlineStr">
        <is>
          <t>National pick 33</t>
        </is>
      </c>
      <c r="G257" s="3" t="n">
        <v>533</v>
      </c>
      <c r="H257" s="3" t="n">
        <v>505</v>
      </c>
      <c r="I257" s="3">
        <f>H257-G257</f>
        <v/>
      </c>
      <c r="J257" s="4">
        <f>IF(G257=0,"",(H257-G257)/G257)</f>
        <v/>
      </c>
      <c r="K257" s="4">
        <f>IF(G257=0,"",(H257-G257*0.891738)/(G257*0.891738))</f>
        <v/>
      </c>
      <c r="L257" s="3" t="n">
        <v>0</v>
      </c>
      <c r="M257" s="3" t="n">
        <v>0</v>
      </c>
      <c r="N257" s="3" t="n">
        <v>-28</v>
      </c>
      <c r="O257" s="3" t="n">
        <v>0</v>
      </c>
      <c r="P257" s="3" t="n">
        <v>0</v>
      </c>
      <c r="Q257" s="3">
        <f>SUM(L257:P257)-I257</f>
        <v/>
      </c>
    </row>
    <row r="258">
      <c r="A258" s="2" t="inlineStr">
        <is>
          <t>tom-de-koning</t>
        </is>
      </c>
      <c r="B258" s="2" t="inlineStr">
        <is>
          <t>Tom De Koning</t>
        </is>
      </c>
      <c r="C258" s="2" t="inlineStr">
        <is>
          <t>St Kilda</t>
        </is>
      </c>
      <c r="D258" s="2" t="inlineStr">
        <is>
          <t>RUCK</t>
        </is>
      </c>
      <c r="E258" s="2" t="n">
        <v>27</v>
      </c>
      <c r="F258" s="2" t="inlineStr">
        <is>
          <t>National pick 30</t>
        </is>
      </c>
      <c r="G258" s="3" t="n">
        <v>2090</v>
      </c>
      <c r="H258" s="3" t="n">
        <v>1838</v>
      </c>
      <c r="I258" s="3">
        <f>H258-G258</f>
        <v/>
      </c>
      <c r="J258" s="4">
        <f>IF(G258=0,"",(H258-G258)/G258)</f>
        <v/>
      </c>
      <c r="K258" s="4">
        <f>IF(G258=0,"",(H258-G258*0.891738)/(G258*0.891738))</f>
        <v/>
      </c>
      <c r="L258" s="3" t="n">
        <v>-29</v>
      </c>
      <c r="M258" s="3" t="n">
        <v>0</v>
      </c>
      <c r="N258" s="3" t="n">
        <v>-223</v>
      </c>
      <c r="O258" s="3" t="n">
        <v>0</v>
      </c>
      <c r="P258" s="3" t="n">
        <v>0</v>
      </c>
      <c r="Q258" s="3">
        <f>SUM(L258:P258)-I258</f>
        <v/>
      </c>
    </row>
    <row r="259">
      <c r="A259" s="2" t="inlineStr">
        <is>
          <t>james-leake</t>
        </is>
      </c>
      <c r="B259" s="2" t="inlineStr">
        <is>
          <t>James Leake</t>
        </is>
      </c>
      <c r="C259" s="2" t="inlineStr">
        <is>
          <t>GWS</t>
        </is>
      </c>
      <c r="D259" s="2" t="inlineStr">
        <is>
          <t>SD</t>
        </is>
      </c>
      <c r="E259" s="2" t="n">
        <v>21</v>
      </c>
      <c r="F259" s="2" t="inlineStr">
        <is>
          <t>National pick 17</t>
        </is>
      </c>
      <c r="G259" s="3" t="n">
        <v>482</v>
      </c>
      <c r="H259" s="3" t="n">
        <v>407</v>
      </c>
      <c r="I259" s="3">
        <f>H259-G259</f>
        <v/>
      </c>
      <c r="J259" s="4">
        <f>IF(G259=0,"",(H259-G259)/G259)</f>
        <v/>
      </c>
      <c r="K259" s="4">
        <f>IF(G259=0,"",(H259-G259*0.891738)/(G259*0.891738))</f>
        <v/>
      </c>
      <c r="L259" s="3" t="n">
        <v>-27</v>
      </c>
      <c r="M259" s="3" t="n">
        <v>0</v>
      </c>
      <c r="N259" s="3" t="n">
        <v>-47</v>
      </c>
      <c r="O259" s="3" t="n">
        <v>-1</v>
      </c>
      <c r="P259" s="3" t="n">
        <v>0</v>
      </c>
      <c r="Q259" s="3">
        <f>SUM(L259:P259)-I259</f>
        <v/>
      </c>
    </row>
    <row r="260">
      <c r="A260" s="2" t="inlineStr">
        <is>
          <t>kai-lohmann</t>
        </is>
      </c>
      <c r="B260" s="2" t="inlineStr">
        <is>
          <t>Kai Lohmann</t>
        </is>
      </c>
      <c r="C260" s="2" t="inlineStr">
        <is>
          <t>Brisbane</t>
        </is>
      </c>
      <c r="D260" s="2" t="inlineStr">
        <is>
          <t>SF</t>
        </is>
      </c>
      <c r="E260" s="2" t="n">
        <v>23</v>
      </c>
      <c r="F260" s="2" t="inlineStr">
        <is>
          <t>National pick 20</t>
        </is>
      </c>
      <c r="G260" s="3" t="n">
        <v>661</v>
      </c>
      <c r="H260" s="3" t="n">
        <v>579</v>
      </c>
      <c r="I260" s="3">
        <f>H260-G260</f>
        <v/>
      </c>
      <c r="J260" s="4">
        <f>IF(G260=0,"",(H260-G260)/G260)</f>
        <v/>
      </c>
      <c r="K260" s="4">
        <f>IF(G260=0,"",(H260-G260*0.891738)/(G260*0.891738))</f>
        <v/>
      </c>
      <c r="L260" s="3" t="n">
        <v>-12</v>
      </c>
      <c r="M260" s="3" t="n">
        <v>0</v>
      </c>
      <c r="N260" s="3" t="n">
        <v>-70</v>
      </c>
      <c r="O260" s="3" t="n">
        <v>0</v>
      </c>
      <c r="P260" s="3" t="n">
        <v>0</v>
      </c>
      <c r="Q260" s="3">
        <f>SUM(L260:P260)-I260</f>
        <v/>
      </c>
    </row>
    <row r="261">
      <c r="A261" s="2" t="inlineStr">
        <is>
          <t>charlie-edwards</t>
        </is>
      </c>
      <c r="B261" s="2" t="inlineStr">
        <is>
          <t>Charlie Edwards</t>
        </is>
      </c>
      <c r="C261" s="2" t="inlineStr">
        <is>
          <t>Adelaide</t>
        </is>
      </c>
      <c r="D261" s="2" t="inlineStr">
        <is>
          <t>MID</t>
        </is>
      </c>
      <c r="E261" s="2" t="n">
        <v>21</v>
      </c>
      <c r="F261" s="2" t="inlineStr">
        <is>
          <t>National pick 21</t>
        </is>
      </c>
      <c r="G261" s="3" t="n">
        <v>725</v>
      </c>
      <c r="H261" s="3" t="n">
        <v>553</v>
      </c>
      <c r="I261" s="3">
        <f>H261-G261</f>
        <v/>
      </c>
      <c r="J261" s="4">
        <f>IF(G261=0,"",(H261-G261)/G261)</f>
        <v/>
      </c>
      <c r="K261" s="4">
        <f>IF(G261=0,"",(H261-G261*0.891738)/(G261*0.891738))</f>
        <v/>
      </c>
      <c r="L261" s="3" t="n">
        <v>-70</v>
      </c>
      <c r="M261" s="3" t="n">
        <v>0</v>
      </c>
      <c r="N261" s="3" t="n">
        <v>-54</v>
      </c>
      <c r="O261" s="3" t="n">
        <v>-21</v>
      </c>
      <c r="P261" s="3" t="n">
        <v>-27</v>
      </c>
      <c r="Q261" s="3">
        <f>SUM(L261:P261)-I261</f>
        <v/>
      </c>
    </row>
    <row r="262">
      <c r="A262" s="2" t="inlineStr">
        <is>
          <t>caiden-cleary</t>
        </is>
      </c>
      <c r="B262" s="2" t="inlineStr">
        <is>
          <t>Caiden Cleary</t>
        </is>
      </c>
      <c r="C262" s="2" t="inlineStr">
        <is>
          <t>Sydney</t>
        </is>
      </c>
      <c r="D262" s="2" t="inlineStr">
        <is>
          <t>SF</t>
        </is>
      </c>
      <c r="E262" s="2" t="n">
        <v>21</v>
      </c>
      <c r="F262" s="2" t="inlineStr">
        <is>
          <t>National pick 24</t>
        </is>
      </c>
      <c r="G262" s="3" t="n">
        <v>450</v>
      </c>
      <c r="H262" s="3" t="n">
        <v>368</v>
      </c>
      <c r="I262" s="3">
        <f>H262-G262</f>
        <v/>
      </c>
      <c r="J262" s="4">
        <f>IF(G262=0,"",(H262-G262)/G262)</f>
        <v/>
      </c>
      <c r="K262" s="4">
        <f>IF(G262=0,"",(H262-G262*0.891738)/(G262*0.891738))</f>
        <v/>
      </c>
      <c r="L262" s="3" t="n">
        <v>-38</v>
      </c>
      <c r="M262" s="3" t="n">
        <v>0</v>
      </c>
      <c r="N262" s="3" t="n">
        <v>-44</v>
      </c>
      <c r="O262" s="3" t="n">
        <v>0</v>
      </c>
      <c r="P262" s="3" t="n">
        <v>0</v>
      </c>
      <c r="Q262" s="3">
        <f>SUM(L262:P262)-I262</f>
        <v/>
      </c>
    </row>
    <row r="263">
      <c r="A263" s="2" t="inlineStr">
        <is>
          <t>rory-laird</t>
        </is>
      </c>
      <c r="B263" s="2" t="inlineStr">
        <is>
          <t>Rory Laird</t>
        </is>
      </c>
      <c r="C263" s="2" t="inlineStr">
        <is>
          <t>Adelaide</t>
        </is>
      </c>
      <c r="D263" s="2" t="inlineStr">
        <is>
          <t>SD</t>
        </is>
      </c>
      <c r="E263" s="2" t="n">
        <v>33</v>
      </c>
      <c r="F263" s="2" t="inlineStr">
        <is>
          <t>Rookie pick 8</t>
        </is>
      </c>
      <c r="G263" s="3" t="n">
        <v>764</v>
      </c>
      <c r="H263" s="3" t="n">
        <v>673</v>
      </c>
      <c r="I263" s="3">
        <f>H263-G263</f>
        <v/>
      </c>
      <c r="J263" s="4">
        <f>IF(G263=0,"",(H263-G263)/G263)</f>
        <v/>
      </c>
      <c r="K263" s="4">
        <f>IF(G263=0,"",(H263-G263*0.891738)/(G263*0.891738))</f>
        <v/>
      </c>
      <c r="L263" s="3" t="n">
        <v>-10</v>
      </c>
      <c r="M263" s="3" t="n">
        <v>0</v>
      </c>
      <c r="N263" s="3" t="n">
        <v>-81</v>
      </c>
      <c r="O263" s="3" t="n">
        <v>0</v>
      </c>
      <c r="P263" s="3" t="n">
        <v>0</v>
      </c>
      <c r="Q263" s="3">
        <f>SUM(L263:P263)-I263</f>
        <v/>
      </c>
    </row>
    <row r="264">
      <c r="A264" s="2" t="inlineStr">
        <is>
          <t>riley-hardeman</t>
        </is>
      </c>
      <c r="B264" s="2" t="inlineStr">
        <is>
          <t>Riley Hardeman</t>
        </is>
      </c>
      <c r="C264" s="2" t="inlineStr">
        <is>
          <t>North Melbourne</t>
        </is>
      </c>
      <c r="D264" s="2" t="inlineStr">
        <is>
          <t>SD</t>
        </is>
      </c>
      <c r="E264" s="2" t="n">
        <v>21</v>
      </c>
      <c r="F264" s="2" t="inlineStr">
        <is>
          <t>National pick 23</t>
        </is>
      </c>
      <c r="G264" s="3" t="n">
        <v>274</v>
      </c>
      <c r="H264" s="3" t="n">
        <v>243</v>
      </c>
      <c r="I264" s="3">
        <f>H264-G264</f>
        <v/>
      </c>
      <c r="J264" s="4">
        <f>IF(G264=0,"",(H264-G264)/G264)</f>
        <v/>
      </c>
      <c r="K264" s="4">
        <f>IF(G264=0,"",(H264-G264*0.891738)/(G264*0.891738))</f>
        <v/>
      </c>
      <c r="L264" s="3" t="n">
        <v>-10</v>
      </c>
      <c r="M264" s="3" t="n">
        <v>0</v>
      </c>
      <c r="N264" s="3" t="n">
        <v>-21</v>
      </c>
      <c r="O264" s="3" t="n">
        <v>0</v>
      </c>
      <c r="P264" s="3" t="n">
        <v>0</v>
      </c>
      <c r="Q264" s="3">
        <f>SUM(L264:P264)-I264</f>
        <v/>
      </c>
    </row>
    <row r="265">
      <c r="A265" s="2" t="inlineStr">
        <is>
          <t>sam-taylor</t>
        </is>
      </c>
      <c r="B265" s="2" t="inlineStr">
        <is>
          <t>Sam Taylor</t>
        </is>
      </c>
      <c r="C265" s="2" t="inlineStr">
        <is>
          <t>GWS</t>
        </is>
      </c>
      <c r="D265" s="2" t="inlineStr">
        <is>
          <t>KPD</t>
        </is>
      </c>
      <c r="E265" s="2" t="n">
        <v>27</v>
      </c>
      <c r="F265" s="2" t="inlineStr">
        <is>
          <t>National pick 28</t>
        </is>
      </c>
      <c r="G265" s="3" t="n">
        <v>1272</v>
      </c>
      <c r="H265" s="3" t="n">
        <v>1120</v>
      </c>
      <c r="I265" s="3">
        <f>H265-G265</f>
        <v/>
      </c>
      <c r="J265" s="4">
        <f>IF(G265=0,"",(H265-G265)/G265)</f>
        <v/>
      </c>
      <c r="K265" s="4">
        <f>IF(G265=0,"",(H265-G265*0.891738)/(G265*0.891738))</f>
        <v/>
      </c>
      <c r="L265" s="3" t="n">
        <v>-16</v>
      </c>
      <c r="M265" s="3" t="n">
        <v>0</v>
      </c>
      <c r="N265" s="3" t="n">
        <v>-136</v>
      </c>
      <c r="O265" s="3" t="n">
        <v>0</v>
      </c>
      <c r="P265" s="3" t="n">
        <v>0</v>
      </c>
      <c r="Q265" s="3">
        <f>SUM(L265:P265)-I265</f>
        <v/>
      </c>
    </row>
    <row r="266">
      <c r="A266" s="2" t="inlineStr">
        <is>
          <t>lewis-hayes</t>
        </is>
      </c>
      <c r="B266" s="2" t="inlineStr">
        <is>
          <t>Lewis Hayes</t>
        </is>
      </c>
      <c r="C266" s="2" t="inlineStr">
        <is>
          <t>Essendon</t>
        </is>
      </c>
      <c r="D266" s="2" t="inlineStr">
        <is>
          <t>KPD</t>
        </is>
      </c>
      <c r="E266" s="2" t="n">
        <v>22</v>
      </c>
      <c r="F266" s="2" t="inlineStr">
        <is>
          <t>National pick 25</t>
        </is>
      </c>
      <c r="G266" s="3" t="n">
        <v>250</v>
      </c>
      <c r="H266" s="3" t="n">
        <v>239</v>
      </c>
      <c r="I266" s="3">
        <f>H266-G266</f>
        <v/>
      </c>
      <c r="J266" s="4">
        <f>IF(G266=0,"",(H266-G266)/G266)</f>
        <v/>
      </c>
      <c r="K266" s="4">
        <f>IF(G266=0,"",(H266-G266*0.891738)/(G266*0.891738))</f>
        <v/>
      </c>
      <c r="L266" s="3" t="n">
        <v>0</v>
      </c>
      <c r="M266" s="3" t="n">
        <v>0</v>
      </c>
      <c r="N266" s="3" t="n">
        <v>-11</v>
      </c>
      <c r="O266" s="3" t="n">
        <v>0</v>
      </c>
      <c r="P266" s="3" t="n">
        <v>0</v>
      </c>
      <c r="Q266" s="3">
        <f>SUM(L266:P266)-I266</f>
        <v/>
      </c>
    </row>
    <row r="267">
      <c r="A267" s="2" t="inlineStr">
        <is>
          <t>darcy-byrne-jones</t>
        </is>
      </c>
      <c r="B267" s="2" t="inlineStr">
        <is>
          <t>Darcy Byrne-Jones</t>
        </is>
      </c>
      <c r="C267" s="2" t="inlineStr">
        <is>
          <t>Port Adelaide</t>
        </is>
      </c>
      <c r="D267" s="2" t="inlineStr">
        <is>
          <t>SD</t>
        </is>
      </c>
      <c r="E267" s="2" t="n">
        <v>31</v>
      </c>
      <c r="F267" s="2" t="inlineStr">
        <is>
          <t>National pick 50</t>
        </is>
      </c>
      <c r="G267" s="3" t="n">
        <v>703</v>
      </c>
      <c r="H267" s="3" t="n">
        <v>618</v>
      </c>
      <c r="I267" s="3">
        <f>H267-G267</f>
        <v/>
      </c>
      <c r="J267" s="4">
        <f>IF(G267=0,"",(H267-G267)/G267)</f>
        <v/>
      </c>
      <c r="K267" s="4">
        <f>IF(G267=0,"",(H267-G267*0.891738)/(G267*0.891738))</f>
        <v/>
      </c>
      <c r="L267" s="3" t="n">
        <v>-10</v>
      </c>
      <c r="M267" s="3" t="n">
        <v>0</v>
      </c>
      <c r="N267" s="3" t="n">
        <v>-75</v>
      </c>
      <c r="O267" s="3" t="n">
        <v>0</v>
      </c>
      <c r="P267" s="3" t="n">
        <v>0</v>
      </c>
      <c r="Q267" s="3">
        <f>SUM(L267:P267)-I267</f>
        <v/>
      </c>
    </row>
    <row r="268">
      <c r="A268" s="2" t="inlineStr">
        <is>
          <t>jack-gunston</t>
        </is>
      </c>
      <c r="B268" s="2" t="inlineStr">
        <is>
          <t>Jack Gunston</t>
        </is>
      </c>
      <c r="C268" s="2" t="inlineStr">
        <is>
          <t>Hawthorn</t>
        </is>
      </c>
      <c r="D268" s="2" t="inlineStr">
        <is>
          <t>KPF</t>
        </is>
      </c>
      <c r="E268" s="2" t="n">
        <v>35</v>
      </c>
      <c r="F268" s="2" t="inlineStr">
        <is>
          <t>National pick 29</t>
        </is>
      </c>
      <c r="G268" s="3" t="n">
        <v>896</v>
      </c>
      <c r="H268" s="3" t="n">
        <v>767</v>
      </c>
      <c r="I268" s="3">
        <f>H268-G268</f>
        <v/>
      </c>
      <c r="J268" s="4">
        <f>IF(G268=0,"",(H268-G268)/G268)</f>
        <v/>
      </c>
      <c r="K268" s="4">
        <f>IF(G268=0,"",(H268-G268*0.891738)/(G268*0.891738))</f>
        <v/>
      </c>
      <c r="L268" s="3" t="n">
        <v>-13</v>
      </c>
      <c r="M268" s="3" t="n">
        <v>-24</v>
      </c>
      <c r="N268" s="3" t="n">
        <v>-92</v>
      </c>
      <c r="O268" s="3" t="n">
        <v>0</v>
      </c>
      <c r="P268" s="3" t="n">
        <v>0</v>
      </c>
      <c r="Q268" s="3">
        <f>SUM(L268:P268)-I268</f>
        <v/>
      </c>
    </row>
    <row r="269">
      <c r="A269" s="2" t="inlineStr">
        <is>
          <t>lachie-jaques</t>
        </is>
      </c>
      <c r="B269" s="2" t="inlineStr">
        <is>
          <t>Lachie Jaques</t>
        </is>
      </c>
      <c r="C269" s="2" t="inlineStr">
        <is>
          <t>Western Bulldogs</t>
        </is>
      </c>
      <c r="D269" s="2" t="inlineStr">
        <is>
          <t>SD</t>
        </is>
      </c>
      <c r="E269" s="2" t="n">
        <v>20</v>
      </c>
      <c r="F269" s="2" t="inlineStr">
        <is>
          <t>National pick 29</t>
        </is>
      </c>
      <c r="G269" s="3" t="n">
        <v>809</v>
      </c>
      <c r="H269" s="3" t="n">
        <v>636</v>
      </c>
      <c r="I269" s="3">
        <f>H269-G269</f>
        <v/>
      </c>
      <c r="J269" s="4">
        <f>IF(G269=0,"",(H269-G269)/G269)</f>
        <v/>
      </c>
      <c r="K269" s="4">
        <f>IF(G269=0,"",(H269-G269*0.891738)/(G269*0.891738))</f>
        <v/>
      </c>
      <c r="L269" s="3" t="n">
        <v>-95</v>
      </c>
      <c r="M269" s="3" t="n">
        <v>0</v>
      </c>
      <c r="N269" s="3" t="n">
        <v>-78</v>
      </c>
      <c r="O269" s="3" t="n">
        <v>0</v>
      </c>
      <c r="P269" s="3" t="n">
        <v>0</v>
      </c>
      <c r="Q269" s="3">
        <f>SUM(L269:P269)-I269</f>
        <v/>
      </c>
    </row>
    <row r="270">
      <c r="A270" s="2" t="inlineStr">
        <is>
          <t>charlie-nicholls</t>
        </is>
      </c>
      <c r="B270" s="2" t="inlineStr">
        <is>
          <t>Charlie Nicholls</t>
        </is>
      </c>
      <c r="C270" s="2" t="inlineStr">
        <is>
          <t>Fremantle</t>
        </is>
      </c>
      <c r="D270" s="2" t="inlineStr">
        <is>
          <t>KPF</t>
        </is>
      </c>
      <c r="E270" s="2" t="n">
        <v>20</v>
      </c>
      <c r="F270" s="2" t="inlineStr">
        <is>
          <t>National pick 34</t>
        </is>
      </c>
      <c r="G270" s="3" t="n">
        <v>203</v>
      </c>
      <c r="H270" s="3" t="n">
        <v>193</v>
      </c>
      <c r="I270" s="3">
        <f>H270-G270</f>
        <v/>
      </c>
      <c r="J270" s="4">
        <f>IF(G270=0,"",(H270-G270)/G270)</f>
        <v/>
      </c>
      <c r="K270" s="4">
        <f>IF(G270=0,"",(H270-G270*0.891738)/(G270*0.891738))</f>
        <v/>
      </c>
      <c r="L270" s="3" t="n">
        <v>0</v>
      </c>
      <c r="M270" s="3" t="n">
        <v>0</v>
      </c>
      <c r="N270" s="3" t="n">
        <v>-10</v>
      </c>
      <c r="O270" s="3" t="n">
        <v>0</v>
      </c>
      <c r="P270" s="3" t="n">
        <v>0</v>
      </c>
      <c r="Q270" s="3">
        <f>SUM(L270:P270)-I270</f>
        <v/>
      </c>
    </row>
    <row r="271">
      <c r="A271" s="2" t="inlineStr">
        <is>
          <t>jevan-phillipou</t>
        </is>
      </c>
      <c r="B271" s="2" t="inlineStr">
        <is>
          <t>Jevan Phillipou</t>
        </is>
      </c>
      <c r="C271" s="2" t="inlineStr">
        <is>
          <t>Sydney</t>
        </is>
      </c>
      <c r="D271" s="2" t="inlineStr">
        <is>
          <t>SF</t>
        </is>
      </c>
      <c r="E271" s="2" t="n">
        <v>19</v>
      </c>
      <c r="F271" s="2" t="inlineStr">
        <is>
          <t>National pick 35</t>
        </is>
      </c>
      <c r="G271" s="3" t="n">
        <v>282</v>
      </c>
      <c r="H271" s="3" t="n">
        <v>267</v>
      </c>
      <c r="I271" s="3">
        <f>H271-G271</f>
        <v/>
      </c>
      <c r="J271" s="4">
        <f>IF(G271=0,"",(H271-G271)/G271)</f>
        <v/>
      </c>
      <c r="K271" s="4">
        <f>IF(G271=0,"",(H271-G271*0.891738)/(G271*0.891738))</f>
        <v/>
      </c>
      <c r="L271" s="3" t="n">
        <v>0</v>
      </c>
      <c r="M271" s="3" t="n">
        <v>0</v>
      </c>
      <c r="N271" s="3" t="n">
        <v>-15</v>
      </c>
      <c r="O271" s="3" t="n">
        <v>0</v>
      </c>
      <c r="P271" s="3" t="n">
        <v>0</v>
      </c>
      <c r="Q271" s="3">
        <f>SUM(L271:P271)-I271</f>
        <v/>
      </c>
    </row>
    <row r="272">
      <c r="A272" s="2" t="inlineStr">
        <is>
          <t>harry-o-farrell</t>
        </is>
      </c>
      <c r="B272" s="2" t="inlineStr">
        <is>
          <t>Harry O'Farrell</t>
        </is>
      </c>
      <c r="C272" s="2" t="inlineStr">
        <is>
          <t>Carlton</t>
        </is>
      </c>
      <c r="D272" s="2" t="inlineStr">
        <is>
          <t>KPD</t>
        </is>
      </c>
      <c r="E272" s="2" t="n">
        <v>20</v>
      </c>
      <c r="F272" s="2" t="inlineStr">
        <is>
          <t>National pick 40</t>
        </is>
      </c>
      <c r="G272" s="3" t="n">
        <v>957</v>
      </c>
      <c r="H272" s="3" t="n">
        <v>741</v>
      </c>
      <c r="I272" s="3">
        <f>H272-G272</f>
        <v/>
      </c>
      <c r="J272" s="4">
        <f>IF(G272=0,"",(H272-G272)/G272)</f>
        <v/>
      </c>
      <c r="K272" s="4">
        <f>IF(G272=0,"",(H272-G272*0.891738)/(G272*0.891738))</f>
        <v/>
      </c>
      <c r="L272" s="3" t="n">
        <v>-126</v>
      </c>
      <c r="M272" s="3" t="n">
        <v>0</v>
      </c>
      <c r="N272" s="3" t="n">
        <v>-90</v>
      </c>
      <c r="O272" s="3" t="n">
        <v>0</v>
      </c>
      <c r="P272" s="3" t="n">
        <v>0</v>
      </c>
      <c r="Q272" s="3">
        <f>SUM(L272:P272)-I272</f>
        <v/>
      </c>
    </row>
    <row r="273">
      <c r="A273" s="2" t="inlineStr">
        <is>
          <t>matthew-roberts</t>
        </is>
      </c>
      <c r="B273" s="2" t="inlineStr">
        <is>
          <t>Matthew Roberts</t>
        </is>
      </c>
      <c r="C273" s="2" t="inlineStr">
        <is>
          <t>Sydney</t>
        </is>
      </c>
      <c r="D273" s="2" t="inlineStr">
        <is>
          <t>SD</t>
        </is>
      </c>
      <c r="E273" s="2" t="n">
        <v>23</v>
      </c>
      <c r="F273" s="2" t="inlineStr">
        <is>
          <t>National pick 34</t>
        </is>
      </c>
      <c r="G273" s="3" t="n">
        <v>1904</v>
      </c>
      <c r="H273" s="3" t="n">
        <v>1679</v>
      </c>
      <c r="I273" s="3">
        <f>H273-G273</f>
        <v/>
      </c>
      <c r="J273" s="4">
        <f>IF(G273=0,"",(H273-G273)/G273)</f>
        <v/>
      </c>
      <c r="K273" s="4">
        <f>IF(G273=0,"",(H273-G273*0.891738)/(G273*0.891738))</f>
        <v/>
      </c>
      <c r="L273" s="3" t="n">
        <v>-22</v>
      </c>
      <c r="M273" s="3" t="n">
        <v>0</v>
      </c>
      <c r="N273" s="3" t="n">
        <v>-203</v>
      </c>
      <c r="O273" s="3" t="n">
        <v>0</v>
      </c>
      <c r="P273" s="3" t="n">
        <v>0</v>
      </c>
      <c r="Q273" s="3">
        <f>SUM(L273:P273)-I273</f>
        <v/>
      </c>
    </row>
    <row r="274">
      <c r="A274" s="2" t="inlineStr">
        <is>
          <t>max-michalanney</t>
        </is>
      </c>
      <c r="B274" s="2" t="inlineStr">
        <is>
          <t>Max Michalanney</t>
        </is>
      </c>
      <c r="C274" s="2" t="inlineStr">
        <is>
          <t>Adelaide</t>
        </is>
      </c>
      <c r="D274" s="2" t="inlineStr">
        <is>
          <t>SD</t>
        </is>
      </c>
      <c r="E274" s="2" t="n">
        <v>22</v>
      </c>
      <c r="F274" s="2" t="inlineStr">
        <is>
          <t>National pick 17</t>
        </is>
      </c>
      <c r="G274" s="3" t="n">
        <v>499</v>
      </c>
      <c r="H274" s="3" t="n">
        <v>431</v>
      </c>
      <c r="I274" s="3">
        <f>H274-G274</f>
        <v/>
      </c>
      <c r="J274" s="4">
        <f>IF(G274=0,"",(H274-G274)/G274)</f>
        <v/>
      </c>
      <c r="K274" s="4">
        <f>IF(G274=0,"",(H274-G274*0.891738)/(G274*0.891738))</f>
        <v/>
      </c>
      <c r="L274" s="3" t="n">
        <v>-15</v>
      </c>
      <c r="M274" s="3" t="n">
        <v>0</v>
      </c>
      <c r="N274" s="3" t="n">
        <v>-53</v>
      </c>
      <c r="O274" s="3" t="n">
        <v>0</v>
      </c>
      <c r="P274" s="3" t="n">
        <v>0</v>
      </c>
      <c r="Q274" s="3">
        <f>SUM(L274:P274)-I274</f>
        <v/>
      </c>
    </row>
    <row r="275">
      <c r="A275" s="2" t="inlineStr">
        <is>
          <t>josh-gibcus</t>
        </is>
      </c>
      <c r="B275" s="2" t="inlineStr">
        <is>
          <t>Josh Gibcus</t>
        </is>
      </c>
      <c r="C275" s="2" t="inlineStr">
        <is>
          <t>Richmond</t>
        </is>
      </c>
      <c r="D275" s="2" t="inlineStr">
        <is>
          <t>KPD</t>
        </is>
      </c>
      <c r="E275" s="2" t="n">
        <v>23</v>
      </c>
      <c r="F275" s="2" t="inlineStr">
        <is>
          <t>National pick 9</t>
        </is>
      </c>
      <c r="G275" s="3" t="n">
        <v>136</v>
      </c>
      <c r="H275" s="3" t="n">
        <v>134</v>
      </c>
      <c r="I275" s="3">
        <f>H275-G275</f>
        <v/>
      </c>
      <c r="J275" s="4">
        <f>IF(G275=0,"",(H275-G275)/G275)</f>
        <v/>
      </c>
      <c r="K275" s="4">
        <f>IF(G275=0,"",(H275-G275*0.891738)/(G275*0.891738))</f>
        <v/>
      </c>
      <c r="L275" s="3" t="n">
        <v>0</v>
      </c>
      <c r="M275" s="3" t="n">
        <v>0</v>
      </c>
      <c r="N275" s="3" t="n">
        <v>-2</v>
      </c>
      <c r="O275" s="3" t="n">
        <v>0</v>
      </c>
      <c r="P275" s="3" t="n">
        <v>0</v>
      </c>
      <c r="Q275" s="3">
        <f>SUM(L275:P275)-I275</f>
        <v/>
      </c>
    </row>
    <row r="276">
      <c r="A276" s="2" t="inlineStr">
        <is>
          <t>darcy-fogarty</t>
        </is>
      </c>
      <c r="B276" s="2" t="inlineStr">
        <is>
          <t>Darcy Fogarty</t>
        </is>
      </c>
      <c r="C276" s="2" t="inlineStr">
        <is>
          <t>Adelaide</t>
        </is>
      </c>
      <c r="D276" s="2" t="inlineStr">
        <is>
          <t>KPF</t>
        </is>
      </c>
      <c r="E276" s="2" t="n">
        <v>27</v>
      </c>
      <c r="F276" s="2" t="inlineStr">
        <is>
          <t>National pick 12</t>
        </is>
      </c>
      <c r="G276" s="3" t="n">
        <v>868</v>
      </c>
      <c r="H276" s="3" t="n">
        <v>753</v>
      </c>
      <c r="I276" s="3">
        <f>H276-G276</f>
        <v/>
      </c>
      <c r="J276" s="4">
        <f>IF(G276=0,"",(H276-G276)/G276)</f>
        <v/>
      </c>
      <c r="K276" s="4">
        <f>IF(G276=0,"",(H276-G276*0.891738)/(G276*0.891738))</f>
        <v/>
      </c>
      <c r="L276" s="3" t="n">
        <v>-12</v>
      </c>
      <c r="M276" s="3" t="n">
        <v>-12</v>
      </c>
      <c r="N276" s="3" t="n">
        <v>-91</v>
      </c>
      <c r="O276" s="3" t="n">
        <v>0</v>
      </c>
      <c r="P276" s="3" t="n">
        <v>0</v>
      </c>
      <c r="Q276" s="3">
        <f>SUM(L276:P276)-I276</f>
        <v/>
      </c>
    </row>
    <row r="277">
      <c r="A277" s="2" t="inlineStr">
        <is>
          <t>miles-bergman</t>
        </is>
      </c>
      <c r="B277" s="2" t="inlineStr">
        <is>
          <t>Miles Bergman</t>
        </is>
      </c>
      <c r="C277" s="2" t="inlineStr">
        <is>
          <t>Port Adelaide</t>
        </is>
      </c>
      <c r="D277" s="2" t="inlineStr">
        <is>
          <t>SD</t>
        </is>
      </c>
      <c r="E277" s="2" t="n">
        <v>25</v>
      </c>
      <c r="F277" s="2" t="inlineStr">
        <is>
          <t>National pick 14</t>
        </is>
      </c>
      <c r="G277" s="3" t="n">
        <v>931</v>
      </c>
      <c r="H277" s="3" t="n">
        <v>818</v>
      </c>
      <c r="I277" s="3">
        <f>H277-G277</f>
        <v/>
      </c>
      <c r="J277" s="4">
        <f>IF(G277=0,"",(H277-G277)/G277)</f>
        <v/>
      </c>
      <c r="K277" s="4">
        <f>IF(G277=0,"",(H277-G277*0.891738)/(G277*0.891738))</f>
        <v/>
      </c>
      <c r="L277" s="3" t="n">
        <v>-14</v>
      </c>
      <c r="M277" s="3" t="n">
        <v>0</v>
      </c>
      <c r="N277" s="3" t="n">
        <v>-99</v>
      </c>
      <c r="O277" s="3" t="n">
        <v>0</v>
      </c>
      <c r="P277" s="3" t="n">
        <v>0</v>
      </c>
      <c r="Q277" s="3">
        <f>SUM(L277:P277)-I277</f>
        <v/>
      </c>
    </row>
    <row r="278">
      <c r="A278" s="2" t="inlineStr">
        <is>
          <t>cody-curtin</t>
        </is>
      </c>
      <c r="B278" s="2" t="inlineStr">
        <is>
          <t>Cody Curtin</t>
        </is>
      </c>
      <c r="C278" s="2" t="inlineStr">
        <is>
          <t>Brisbane</t>
        </is>
      </c>
      <c r="D278" s="2" t="inlineStr">
        <is>
          <t>KPF</t>
        </is>
      </c>
      <c r="E278" s="2" t="n">
        <v>19</v>
      </c>
      <c r="F278" s="2" t="inlineStr">
        <is>
          <t>National pick 43</t>
        </is>
      </c>
      <c r="G278" s="3" t="n">
        <v>548</v>
      </c>
      <c r="H278" s="3" t="n">
        <v>362</v>
      </c>
      <c r="I278" s="3">
        <f>H278-G278</f>
        <v/>
      </c>
      <c r="J278" s="4">
        <f>IF(G278=0,"",(H278-G278)/G278)</f>
        <v/>
      </c>
      <c r="K278" s="4">
        <f>IF(G278=0,"",(H278-G278*0.891738)/(G278*0.891738))</f>
        <v/>
      </c>
      <c r="L278" s="3" t="n">
        <v>-78</v>
      </c>
      <c r="M278" s="3" t="n">
        <v>0</v>
      </c>
      <c r="N278" s="3" t="n">
        <v>-50</v>
      </c>
      <c r="O278" s="3" t="n">
        <v>-29</v>
      </c>
      <c r="P278" s="3" t="n">
        <v>-29</v>
      </c>
      <c r="Q278" s="3">
        <f>SUM(L278:P278)-I278</f>
        <v/>
      </c>
    </row>
    <row r="279">
      <c r="A279" s="2" t="inlineStr">
        <is>
          <t>koby-evans</t>
        </is>
      </c>
      <c r="B279" s="2" t="inlineStr">
        <is>
          <t>Koby Evans</t>
        </is>
      </c>
      <c r="C279" s="2" t="inlineStr">
        <is>
          <t>Brisbane</t>
        </is>
      </c>
      <c r="D279" s="2" t="inlineStr">
        <is>
          <t>SF</t>
        </is>
      </c>
      <c r="E279" s="2" t="n">
        <v>19</v>
      </c>
      <c r="F279" s="2" t="inlineStr">
        <is>
          <t>National pick 38</t>
        </is>
      </c>
      <c r="G279" s="3" t="n">
        <v>263</v>
      </c>
      <c r="H279" s="3" t="n">
        <v>246</v>
      </c>
      <c r="I279" s="3">
        <f>H279-G279</f>
        <v/>
      </c>
      <c r="J279" s="4">
        <f>IF(G279=0,"",(H279-G279)/G279)</f>
        <v/>
      </c>
      <c r="K279" s="4">
        <f>IF(G279=0,"",(H279-G279*0.891738)/(G279*0.891738))</f>
        <v/>
      </c>
      <c r="L279" s="3" t="n">
        <v>0</v>
      </c>
      <c r="M279" s="3" t="n">
        <v>0</v>
      </c>
      <c r="N279" s="3" t="n">
        <v>-17</v>
      </c>
      <c r="O279" s="3" t="n">
        <v>0</v>
      </c>
      <c r="P279" s="3" t="n">
        <v>0</v>
      </c>
      <c r="Q279" s="3">
        <f>SUM(L279:P279)-I279</f>
        <v/>
      </c>
    </row>
    <row r="280">
      <c r="A280" s="2" t="inlineStr">
        <is>
          <t>kayle-gerreyn</t>
        </is>
      </c>
      <c r="B280" s="2" t="inlineStr">
        <is>
          <t>Kayle Gerreyn</t>
        </is>
      </c>
      <c r="C280" s="2" t="inlineStr">
        <is>
          <t>Essendon</t>
        </is>
      </c>
      <c r="D280" s="2" t="inlineStr">
        <is>
          <t>KPF</t>
        </is>
      </c>
      <c r="E280" s="2" t="n">
        <v>20</v>
      </c>
      <c r="F280" s="2" t="inlineStr">
        <is>
          <t>National pick 37</t>
        </is>
      </c>
      <c r="G280" s="3" t="n">
        <v>181</v>
      </c>
      <c r="H280" s="3" t="n">
        <v>170</v>
      </c>
      <c r="I280" s="3">
        <f>H280-G280</f>
        <v/>
      </c>
      <c r="J280" s="4">
        <f>IF(G280=0,"",(H280-G280)/G280)</f>
        <v/>
      </c>
      <c r="K280" s="4">
        <f>IF(G280=0,"",(H280-G280*0.891738)/(G280*0.891738))</f>
        <v/>
      </c>
      <c r="L280" s="3" t="n">
        <v>0</v>
      </c>
      <c r="M280" s="3" t="n">
        <v>0</v>
      </c>
      <c r="N280" s="3" t="n">
        <v>-11</v>
      </c>
      <c r="O280" s="3" t="n">
        <v>0</v>
      </c>
      <c r="P280" s="3" t="n">
        <v>0</v>
      </c>
      <c r="Q280" s="3">
        <f>SUM(L280:P280)-I280</f>
        <v/>
      </c>
    </row>
    <row r="281">
      <c r="A281" s="2" t="inlineStr">
        <is>
          <t>james-peatling</t>
        </is>
      </c>
      <c r="B281" s="2" t="inlineStr">
        <is>
          <t>James Peatling</t>
        </is>
      </c>
      <c r="C281" s="2" t="inlineStr">
        <is>
          <t>Adelaide</t>
        </is>
      </c>
      <c r="D281" s="2" t="inlineStr">
        <is>
          <t>MID</t>
        </is>
      </c>
      <c r="E281" s="2" t="n">
        <v>26</v>
      </c>
      <c r="F281" s="2" t="inlineStr">
        <is>
          <t>Mid-Season pick 8</t>
        </is>
      </c>
      <c r="G281" s="3" t="n">
        <v>1318</v>
      </c>
      <c r="H281" s="3" t="n">
        <v>1154</v>
      </c>
      <c r="I281" s="3">
        <f>H281-G281</f>
        <v/>
      </c>
      <c r="J281" s="4">
        <f>IF(G281=0,"",(H281-G281)/G281)</f>
        <v/>
      </c>
      <c r="K281" s="4">
        <f>IF(G281=0,"",(H281-G281*0.891738)/(G281*0.891738))</f>
        <v/>
      </c>
      <c r="L281" s="3" t="n">
        <v>-24</v>
      </c>
      <c r="M281" s="3" t="n">
        <v>0</v>
      </c>
      <c r="N281" s="3" t="n">
        <v>-140</v>
      </c>
      <c r="O281" s="3" t="n">
        <v>0</v>
      </c>
      <c r="P281" s="3" t="n">
        <v>0</v>
      </c>
      <c r="Q281" s="3">
        <f>SUM(L281:P281)-I281</f>
        <v/>
      </c>
    </row>
    <row r="282">
      <c r="A282" s="2" t="inlineStr">
        <is>
          <t>tylah-williams</t>
        </is>
      </c>
      <c r="B282" s="2" t="inlineStr">
        <is>
          <t>Tylah Williams</t>
        </is>
      </c>
      <c r="C282" s="2" t="inlineStr">
        <is>
          <t>West Coast</t>
        </is>
      </c>
      <c r="D282" s="2" t="inlineStr">
        <is>
          <t>SF</t>
        </is>
      </c>
      <c r="E282" s="2" t="n">
        <v>19</v>
      </c>
      <c r="F282" s="2" t="inlineStr">
        <is>
          <t>National pick 39</t>
        </is>
      </c>
      <c r="G282" s="3" t="n">
        <v>258</v>
      </c>
      <c r="H282" s="3" t="n">
        <v>240</v>
      </c>
      <c r="I282" s="3">
        <f>H282-G282</f>
        <v/>
      </c>
      <c r="J282" s="4">
        <f>IF(G282=0,"",(H282-G282)/G282)</f>
        <v/>
      </c>
      <c r="K282" s="4">
        <f>IF(G282=0,"",(H282-G282*0.891738)/(G282*0.891738))</f>
        <v/>
      </c>
      <c r="L282" s="3" t="n">
        <v>0</v>
      </c>
      <c r="M282" s="3" t="n">
        <v>0</v>
      </c>
      <c r="N282" s="3" t="n">
        <v>-18</v>
      </c>
      <c r="O282" s="3" t="n">
        <v>0</v>
      </c>
      <c r="P282" s="3" t="n">
        <v>0</v>
      </c>
      <c r="Q282" s="3">
        <f>SUM(L282:P282)-I282</f>
        <v/>
      </c>
    </row>
    <row r="283">
      <c r="A283" s="2" t="inlineStr">
        <is>
          <t>samuel-collins</t>
        </is>
      </c>
      <c r="B283" s="2" t="inlineStr">
        <is>
          <t>Samuel Collins</t>
        </is>
      </c>
      <c r="C283" s="2" t="inlineStr">
        <is>
          <t>Gold Coast</t>
        </is>
      </c>
      <c r="D283" s="2" t="inlineStr">
        <is>
          <t>KPD</t>
        </is>
      </c>
      <c r="E283" s="2" t="n">
        <v>32</v>
      </c>
      <c r="F283" s="2" t="inlineStr">
        <is>
          <t>National pick 54</t>
        </is>
      </c>
      <c r="G283" s="3" t="n">
        <v>629</v>
      </c>
      <c r="H283" s="3" t="n">
        <v>554</v>
      </c>
      <c r="I283" s="3">
        <f>H283-G283</f>
        <v/>
      </c>
      <c r="J283" s="4">
        <f>IF(G283=0,"",(H283-G283)/G283)</f>
        <v/>
      </c>
      <c r="K283" s="4">
        <f>IF(G283=0,"",(H283-G283*0.891738)/(G283*0.891738))</f>
        <v/>
      </c>
      <c r="L283" s="3" t="n">
        <v>-8</v>
      </c>
      <c r="M283" s="3" t="n">
        <v>0</v>
      </c>
      <c r="N283" s="3" t="n">
        <v>-67</v>
      </c>
      <c r="O283" s="3" t="n">
        <v>0</v>
      </c>
      <c r="P283" s="3" t="n">
        <v>0</v>
      </c>
      <c r="Q283" s="3">
        <f>SUM(L283:P283)-I283</f>
        <v/>
      </c>
    </row>
    <row r="284">
      <c r="A284" s="2" t="inlineStr">
        <is>
          <t>joseph-fonti</t>
        </is>
      </c>
      <c r="B284" s="2" t="inlineStr">
        <is>
          <t>Joseph Fonti</t>
        </is>
      </c>
      <c r="C284" s="2" t="inlineStr">
        <is>
          <t>GWS</t>
        </is>
      </c>
      <c r="D284" s="2" t="inlineStr">
        <is>
          <t>SD</t>
        </is>
      </c>
      <c r="E284" s="2" t="n">
        <v>22</v>
      </c>
      <c r="F284" s="2" t="inlineStr">
        <is>
          <t>National pick 44</t>
        </is>
      </c>
      <c r="G284" s="3" t="n">
        <v>636</v>
      </c>
      <c r="H284" s="3" t="n">
        <v>542</v>
      </c>
      <c r="I284" s="3">
        <f>H284-G284</f>
        <v/>
      </c>
      <c r="J284" s="4">
        <f>IF(G284=0,"",(H284-G284)/G284)</f>
        <v/>
      </c>
      <c r="K284" s="4">
        <f>IF(G284=0,"",(H284-G284*0.891738)/(G284*0.891738))</f>
        <v/>
      </c>
      <c r="L284" s="3" t="n">
        <v>-29</v>
      </c>
      <c r="M284" s="3" t="n">
        <v>0</v>
      </c>
      <c r="N284" s="3" t="n">
        <v>-65</v>
      </c>
      <c r="O284" s="3" t="n">
        <v>0</v>
      </c>
      <c r="P284" s="3" t="n">
        <v>0</v>
      </c>
      <c r="Q284" s="3">
        <f>SUM(L284:P284)-I284</f>
        <v/>
      </c>
    </row>
    <row r="285">
      <c r="A285" s="2" t="inlineStr">
        <is>
          <t>tobyn-murray</t>
        </is>
      </c>
      <c r="B285" s="2" t="inlineStr">
        <is>
          <t>Tobyn Murray</t>
        </is>
      </c>
      <c r="C285" s="2" t="inlineStr">
        <is>
          <t>Fremantle</t>
        </is>
      </c>
      <c r="D285" s="2" t="inlineStr">
        <is>
          <t>SF</t>
        </is>
      </c>
      <c r="E285" s="2" t="n">
        <v>21</v>
      </c>
      <c r="F285" s="2" t="inlineStr">
        <is>
          <t>National pick 40</t>
        </is>
      </c>
      <c r="G285" s="3" t="n">
        <v>242</v>
      </c>
      <c r="H285" s="3" t="n">
        <v>225</v>
      </c>
      <c r="I285" s="3">
        <f>H285-G285</f>
        <v/>
      </c>
      <c r="J285" s="4">
        <f>IF(G285=0,"",(H285-G285)/G285)</f>
        <v/>
      </c>
      <c r="K285" s="4">
        <f>IF(G285=0,"",(H285-G285*0.891738)/(G285*0.891738))</f>
        <v/>
      </c>
      <c r="L285" s="3" t="n">
        <v>0</v>
      </c>
      <c r="M285" s="3" t="n">
        <v>0</v>
      </c>
      <c r="N285" s="3" t="n">
        <v>-17</v>
      </c>
      <c r="O285" s="3" t="n">
        <v>0</v>
      </c>
      <c r="P285" s="3" t="n">
        <v>0</v>
      </c>
      <c r="Q285" s="3">
        <f>SUM(L285:P285)-I285</f>
        <v/>
      </c>
    </row>
    <row r="286">
      <c r="A286" s="2" t="inlineStr">
        <is>
          <t>jake-waterman</t>
        </is>
      </c>
      <c r="B286" s="2" t="inlineStr">
        <is>
          <t>Jake Waterman</t>
        </is>
      </c>
      <c r="C286" s="2" t="inlineStr">
        <is>
          <t>West Coast</t>
        </is>
      </c>
      <c r="D286" s="2" t="inlineStr">
        <is>
          <t>KPF</t>
        </is>
      </c>
      <c r="E286" s="2" t="n">
        <v>28</v>
      </c>
      <c r="F286" s="2" t="inlineStr">
        <is>
          <t>National pick 76</t>
        </is>
      </c>
      <c r="G286" s="3" t="n">
        <v>1191</v>
      </c>
      <c r="H286" s="3" t="n">
        <v>1027</v>
      </c>
      <c r="I286" s="3">
        <f>H286-G286</f>
        <v/>
      </c>
      <c r="J286" s="4">
        <f>IF(G286=0,"",(H286-G286)/G286)</f>
        <v/>
      </c>
      <c r="K286" s="4">
        <f>IF(G286=0,"",(H286-G286*0.891738)/(G286*0.891738))</f>
        <v/>
      </c>
      <c r="L286" s="3" t="n">
        <v>-17</v>
      </c>
      <c r="M286" s="3" t="n">
        <v>-21</v>
      </c>
      <c r="N286" s="3" t="n">
        <v>-126</v>
      </c>
      <c r="O286" s="3" t="n">
        <v>0</v>
      </c>
      <c r="P286" s="3" t="n">
        <v>0</v>
      </c>
      <c r="Q286" s="3">
        <f>SUM(L286:P286)-I286</f>
        <v/>
      </c>
    </row>
    <row r="287">
      <c r="A287" s="2" t="inlineStr">
        <is>
          <t>jordan-ridley</t>
        </is>
      </c>
      <c r="B287" s="2" t="inlineStr">
        <is>
          <t>Jordan Ridley</t>
        </is>
      </c>
      <c r="C287" s="2" t="inlineStr">
        <is>
          <t>Essendon</t>
        </is>
      </c>
      <c r="D287" s="2" t="inlineStr">
        <is>
          <t>SD</t>
        </is>
      </c>
      <c r="E287" s="2" t="n">
        <v>28</v>
      </c>
      <c r="F287" s="2" t="inlineStr">
        <is>
          <t>National pick 22</t>
        </is>
      </c>
      <c r="G287" s="3" t="n">
        <v>709</v>
      </c>
      <c r="H287" s="3" t="n">
        <v>624</v>
      </c>
      <c r="I287" s="3">
        <f>H287-G287</f>
        <v/>
      </c>
      <c r="J287" s="4">
        <f>IF(G287=0,"",(H287-G287)/G287)</f>
        <v/>
      </c>
      <c r="K287" s="4">
        <f>IF(G287=0,"",(H287-G287*0.891738)/(G287*0.891738))</f>
        <v/>
      </c>
      <c r="L287" s="3" t="n">
        <v>-9</v>
      </c>
      <c r="M287" s="3" t="n">
        <v>0</v>
      </c>
      <c r="N287" s="3" t="n">
        <v>-76</v>
      </c>
      <c r="O287" s="3" t="n">
        <v>0</v>
      </c>
      <c r="P287" s="3" t="n">
        <v>0</v>
      </c>
      <c r="Q287" s="3">
        <f>SUM(L287:P287)-I287</f>
        <v/>
      </c>
    </row>
    <row r="288">
      <c r="A288" s="2" t="inlineStr">
        <is>
          <t>joshua-kelly</t>
        </is>
      </c>
      <c r="B288" s="2" t="inlineStr">
        <is>
          <t>Joshua Kelly</t>
        </is>
      </c>
      <c r="C288" s="2" t="inlineStr">
        <is>
          <t>GWS</t>
        </is>
      </c>
      <c r="D288" s="2" t="inlineStr">
        <is>
          <t>MID</t>
        </is>
      </c>
      <c r="E288" s="2" t="n">
        <v>31</v>
      </c>
      <c r="F288" s="2" t="inlineStr">
        <is>
          <t>National pick 2</t>
        </is>
      </c>
      <c r="G288" s="3" t="n">
        <v>389</v>
      </c>
      <c r="H288" s="3" t="n">
        <v>341</v>
      </c>
      <c r="I288" s="3">
        <f>H288-G288</f>
        <v/>
      </c>
      <c r="J288" s="4">
        <f>IF(G288=0,"",(H288-G288)/G288)</f>
        <v/>
      </c>
      <c r="K288" s="4">
        <f>IF(G288=0,"",(H288-G288*0.891738)/(G288*0.891738))</f>
        <v/>
      </c>
      <c r="L288" s="3" t="n">
        <v>-5</v>
      </c>
      <c r="M288" s="3" t="n">
        <v>0</v>
      </c>
      <c r="N288" s="3" t="n">
        <v>-43</v>
      </c>
      <c r="O288" s="3" t="n">
        <v>0</v>
      </c>
      <c r="P288" s="3" t="n">
        <v>0</v>
      </c>
      <c r="Q288" s="3">
        <f>SUM(L288:P288)-I288</f>
        <v/>
      </c>
    </row>
    <row r="289">
      <c r="A289" s="2" t="inlineStr">
        <is>
          <t>billy-wilson</t>
        </is>
      </c>
      <c r="B289" s="2" t="inlineStr">
        <is>
          <t>Billy Wilson</t>
        </is>
      </c>
      <c r="C289" s="2" t="inlineStr">
        <is>
          <t>Carlton</t>
        </is>
      </c>
      <c r="D289" s="2" t="inlineStr">
        <is>
          <t>SD</t>
        </is>
      </c>
      <c r="E289" s="2" t="n">
        <v>21</v>
      </c>
      <c r="F289" s="2" t="inlineStr">
        <is>
          <t>National pick 34</t>
        </is>
      </c>
      <c r="G289" s="3" t="n">
        <v>923</v>
      </c>
      <c r="H289" s="3" t="n">
        <v>768</v>
      </c>
      <c r="I289" s="3">
        <f>H289-G289</f>
        <v/>
      </c>
      <c r="J289" s="4">
        <f>IF(G289=0,"",(H289-G289)/G289)</f>
        <v/>
      </c>
      <c r="K289" s="4">
        <f>IF(G289=0,"",(H289-G289*0.891738)/(G289*0.891738))</f>
        <v/>
      </c>
      <c r="L289" s="3" t="n">
        <v>-62</v>
      </c>
      <c r="M289" s="3" t="n">
        <v>0</v>
      </c>
      <c r="N289" s="3" t="n">
        <v>-93</v>
      </c>
      <c r="O289" s="3" t="n">
        <v>0</v>
      </c>
      <c r="P289" s="3" t="n">
        <v>0</v>
      </c>
      <c r="Q289" s="3">
        <f>SUM(L289:P289)-I289</f>
        <v/>
      </c>
    </row>
    <row r="290">
      <c r="A290" s="2" t="inlineStr">
        <is>
          <t>massimo-d-ambrosio</t>
        </is>
      </c>
      <c r="B290" s="2" t="inlineStr">
        <is>
          <t>Massimo D'Ambrosio</t>
        </is>
      </c>
      <c r="C290" s="2" t="inlineStr">
        <is>
          <t>Hawthorn</t>
        </is>
      </c>
      <c r="D290" s="2" t="inlineStr">
        <is>
          <t>MID</t>
        </is>
      </c>
      <c r="E290" s="2" t="n">
        <v>23</v>
      </c>
      <c r="F290" s="2" t="inlineStr">
        <is>
          <t>Mid-Season pick 3</t>
        </is>
      </c>
      <c r="G290" s="3" t="n">
        <v>1550</v>
      </c>
      <c r="H290" s="3" t="n">
        <v>1323</v>
      </c>
      <c r="I290" s="3">
        <f>H290-G290</f>
        <v/>
      </c>
      <c r="J290" s="4">
        <f>IF(G290=0,"",(H290-G290)/G290)</f>
        <v/>
      </c>
      <c r="K290" s="4">
        <f>IF(G290=0,"",(H290-G290*0.891738)/(G290*0.891738))</f>
        <v/>
      </c>
      <c r="L290" s="3" t="n">
        <v>-67</v>
      </c>
      <c r="M290" s="3" t="n">
        <v>0</v>
      </c>
      <c r="N290" s="3" t="n">
        <v>-160</v>
      </c>
      <c r="O290" s="3" t="n">
        <v>0</v>
      </c>
      <c r="P290" s="3" t="n">
        <v>0</v>
      </c>
      <c r="Q290" s="3">
        <f>SUM(L290:P290)-I290</f>
        <v/>
      </c>
    </row>
    <row r="291">
      <c r="A291" s="2" t="inlineStr">
        <is>
          <t>angus-clarke</t>
        </is>
      </c>
      <c r="B291" s="2" t="inlineStr">
        <is>
          <t>Angus Clarke</t>
        </is>
      </c>
      <c r="C291" s="2" t="inlineStr">
        <is>
          <t>Essendon</t>
        </is>
      </c>
      <c r="D291" s="2" t="inlineStr">
        <is>
          <t>SD</t>
        </is>
      </c>
      <c r="E291" s="2" t="n">
        <v>20</v>
      </c>
      <c r="F291" s="2" t="inlineStr">
        <is>
          <t>National pick 39</t>
        </is>
      </c>
      <c r="G291" s="3" t="n">
        <v>746</v>
      </c>
      <c r="H291" s="3" t="n">
        <v>574</v>
      </c>
      <c r="I291" s="3">
        <f>H291-G291</f>
        <v/>
      </c>
      <c r="J291" s="4">
        <f>IF(G291=0,"",(H291-G291)/G291)</f>
        <v/>
      </c>
      <c r="K291" s="4">
        <f>IF(G291=0,"",(H291-G291*0.891738)/(G291*0.891738))</f>
        <v/>
      </c>
      <c r="L291" s="3" t="n">
        <v>-102</v>
      </c>
      <c r="M291" s="3" t="n">
        <v>0</v>
      </c>
      <c r="N291" s="3" t="n">
        <v>-70</v>
      </c>
      <c r="O291" s="3" t="n">
        <v>0</v>
      </c>
      <c r="P291" s="3" t="n">
        <v>0</v>
      </c>
      <c r="Q291" s="3">
        <f>SUM(L291:P291)-I291</f>
        <v/>
      </c>
    </row>
    <row r="292">
      <c r="A292" s="2" t="inlineStr">
        <is>
          <t>nic-newman</t>
        </is>
      </c>
      <c r="B292" s="2" t="inlineStr">
        <is>
          <t>Nic Newman</t>
        </is>
      </c>
      <c r="C292" s="2" t="inlineStr">
        <is>
          <t>Carlton</t>
        </is>
      </c>
      <c r="D292" s="2" t="inlineStr">
        <is>
          <t>SD</t>
        </is>
      </c>
      <c r="E292" s="2" t="n">
        <v>33</v>
      </c>
      <c r="F292" s="2" t="inlineStr">
        <is>
          <t>Rookie pick 24</t>
        </is>
      </c>
      <c r="G292" s="3" t="n">
        <v>638</v>
      </c>
      <c r="H292" s="3" t="n">
        <v>562</v>
      </c>
      <c r="I292" s="3">
        <f>H292-G292</f>
        <v/>
      </c>
      <c r="J292" s="4">
        <f>IF(G292=0,"",(H292-G292)/G292)</f>
        <v/>
      </c>
      <c r="K292" s="4">
        <f>IF(G292=0,"",(H292-G292*0.891738)/(G292*0.891738))</f>
        <v/>
      </c>
      <c r="L292" s="3" t="n">
        <v>-9</v>
      </c>
      <c r="M292" s="3" t="n">
        <v>0</v>
      </c>
      <c r="N292" s="3" t="n">
        <v>-67</v>
      </c>
      <c r="O292" s="3" t="n">
        <v>0</v>
      </c>
      <c r="P292" s="3" t="n">
        <v>0</v>
      </c>
      <c r="Q292" s="3">
        <f>SUM(L292:P292)-I292</f>
        <v/>
      </c>
    </row>
    <row r="293">
      <c r="A293" s="2" t="inlineStr">
        <is>
          <t>andrew-mcgrath</t>
        </is>
      </c>
      <c r="B293" s="2" t="inlineStr">
        <is>
          <t>Andrew McGrath</t>
        </is>
      </c>
      <c r="C293" s="2" t="inlineStr">
        <is>
          <t>Essendon</t>
        </is>
      </c>
      <c r="D293" s="2" t="inlineStr">
        <is>
          <t>SD</t>
        </is>
      </c>
      <c r="E293" s="2" t="n">
        <v>28</v>
      </c>
      <c r="F293" s="2" t="inlineStr">
        <is>
          <t>National pick 1</t>
        </is>
      </c>
      <c r="G293" s="3" t="n">
        <v>945</v>
      </c>
      <c r="H293" s="3" t="n">
        <v>831</v>
      </c>
      <c r="I293" s="3">
        <f>H293-G293</f>
        <v/>
      </c>
      <c r="J293" s="4">
        <f>IF(G293=0,"",(H293-G293)/G293)</f>
        <v/>
      </c>
      <c r="K293" s="4">
        <f>IF(G293=0,"",(H293-G293*0.891738)/(G293*0.891738))</f>
        <v/>
      </c>
      <c r="L293" s="3" t="n">
        <v>-13</v>
      </c>
      <c r="M293" s="3" t="n">
        <v>0</v>
      </c>
      <c r="N293" s="3" t="n">
        <v>-101</v>
      </c>
      <c r="O293" s="3" t="n">
        <v>0</v>
      </c>
      <c r="P293" s="3" t="n">
        <v>0</v>
      </c>
      <c r="Q293" s="3">
        <f>SUM(L293:P293)-I293</f>
        <v/>
      </c>
    </row>
    <row r="294">
      <c r="A294" s="2" t="inlineStr">
        <is>
          <t>jack-dalton</t>
        </is>
      </c>
      <c r="B294" s="2" t="inlineStr">
        <is>
          <t>Jack Dalton</t>
        </is>
      </c>
      <c r="C294" s="2" t="inlineStr">
        <is>
          <t>Hawthorn</t>
        </is>
      </c>
      <c r="D294" s="2" t="inlineStr">
        <is>
          <t>SF</t>
        </is>
      </c>
      <c r="E294" s="2" t="n">
        <v>19</v>
      </c>
      <c r="F294" s="2" t="inlineStr">
        <is>
          <t>National pick 34</t>
        </is>
      </c>
      <c r="G294" s="3" t="n">
        <v>502</v>
      </c>
      <c r="H294" s="3" t="n">
        <v>272</v>
      </c>
      <c r="I294" s="3">
        <f>H294-G294</f>
        <v/>
      </c>
      <c r="J294" s="4">
        <f>IF(G294=0,"",(H294-G294)/G294)</f>
        <v/>
      </c>
      <c r="K294" s="4">
        <f>IF(G294=0,"",(H294-G294*0.891738)/(G294*0.891738))</f>
        <v/>
      </c>
      <c r="L294" s="3" t="n">
        <v>-205</v>
      </c>
      <c r="M294" s="3" t="n">
        <v>0</v>
      </c>
      <c r="N294" s="3" t="n">
        <v>-26</v>
      </c>
      <c r="O294" s="3" t="n">
        <v>1</v>
      </c>
      <c r="P294" s="3" t="n">
        <v>0</v>
      </c>
      <c r="Q294" s="3">
        <f>SUM(L294:P294)-I294</f>
        <v/>
      </c>
    </row>
    <row r="295">
      <c r="A295" s="2" t="inlineStr">
        <is>
          <t>seth-campbell</t>
        </is>
      </c>
      <c r="B295" s="2" t="inlineStr">
        <is>
          <t>Seth Campbell</t>
        </is>
      </c>
      <c r="C295" s="2" t="inlineStr">
        <is>
          <t>Richmond</t>
        </is>
      </c>
      <c r="D295" s="2" t="inlineStr">
        <is>
          <t>SF</t>
        </is>
      </c>
      <c r="E295" s="2" t="n">
        <v>22</v>
      </c>
      <c r="F295" s="2" t="inlineStr">
        <is>
          <t>Rookie pick 3</t>
        </is>
      </c>
      <c r="G295" s="3" t="n">
        <v>918</v>
      </c>
      <c r="H295" s="3" t="n">
        <v>755</v>
      </c>
      <c r="I295" s="3">
        <f>H295-G295</f>
        <v/>
      </c>
      <c r="J295" s="4">
        <f>IF(G295=0,"",(H295-G295)/G295)</f>
        <v/>
      </c>
      <c r="K295" s="4">
        <f>IF(G295=0,"",(H295-G295*0.891738)/(G295*0.891738))</f>
        <v/>
      </c>
      <c r="L295" s="3" t="n">
        <v>-70</v>
      </c>
      <c r="M295" s="3" t="n">
        <v>0</v>
      </c>
      <c r="N295" s="3" t="n">
        <v>-93</v>
      </c>
      <c r="O295" s="3" t="n">
        <v>0</v>
      </c>
      <c r="P295" s="3" t="n">
        <v>0</v>
      </c>
      <c r="Q295" s="3">
        <f>SUM(L295:P295)-I295</f>
        <v/>
      </c>
    </row>
    <row r="296">
      <c r="A296" s="2" t="inlineStr">
        <is>
          <t>archer-reid</t>
        </is>
      </c>
      <c r="B296" s="2" t="inlineStr">
        <is>
          <t>Archer Reid</t>
        </is>
      </c>
      <c r="C296" s="2" t="inlineStr">
        <is>
          <t>West Coast</t>
        </is>
      </c>
      <c r="D296" s="2" t="inlineStr">
        <is>
          <t>KPF</t>
        </is>
      </c>
      <c r="E296" s="2" t="n">
        <v>21</v>
      </c>
      <c r="F296" s="2" t="inlineStr">
        <is>
          <t>National pick 30</t>
        </is>
      </c>
      <c r="G296" s="3" t="n">
        <v>697</v>
      </c>
      <c r="H296" s="3" t="n">
        <v>671</v>
      </c>
      <c r="I296" s="3">
        <f>H296-G296</f>
        <v/>
      </c>
      <c r="J296" s="4">
        <f>IF(G296=0,"",(H296-G296)/G296)</f>
        <v/>
      </c>
      <c r="K296" s="4">
        <f>IF(G296=0,"",(H296-G296*0.891738)/(G296*0.891738))</f>
        <v/>
      </c>
      <c r="L296" s="3" t="n">
        <v>55</v>
      </c>
      <c r="M296" s="3" t="n">
        <v>0</v>
      </c>
      <c r="N296" s="3" t="n">
        <v>-81</v>
      </c>
      <c r="O296" s="3" t="n">
        <v>0</v>
      </c>
      <c r="P296" s="3" t="n">
        <v>0</v>
      </c>
      <c r="Q296" s="3">
        <f>SUM(L296:P296)-I296</f>
        <v/>
      </c>
    </row>
    <row r="297">
      <c r="A297" s="2" t="inlineStr">
        <is>
          <t>reilly-o-brien</t>
        </is>
      </c>
      <c r="B297" s="2" t="inlineStr">
        <is>
          <t>Reilly O'Brien</t>
        </is>
      </c>
      <c r="C297" s="2" t="inlineStr">
        <is>
          <t>Adelaide</t>
        </is>
      </c>
      <c r="D297" s="2" t="inlineStr">
        <is>
          <t>RUCK</t>
        </is>
      </c>
      <c r="E297" s="2" t="n">
        <v>31</v>
      </c>
      <c r="F297" s="2" t="inlineStr">
        <is>
          <t>Rookie pick 8</t>
        </is>
      </c>
      <c r="G297" s="3" t="n">
        <v>870</v>
      </c>
      <c r="H297" s="3" t="n">
        <v>765</v>
      </c>
      <c r="I297" s="3">
        <f>H297-G297</f>
        <v/>
      </c>
      <c r="J297" s="4">
        <f>IF(G297=0,"",(H297-G297)/G297)</f>
        <v/>
      </c>
      <c r="K297" s="4">
        <f>IF(G297=0,"",(H297-G297*0.891738)/(G297*0.891738))</f>
        <v/>
      </c>
      <c r="L297" s="3" t="n">
        <v>-13</v>
      </c>
      <c r="M297" s="3" t="n">
        <v>0</v>
      </c>
      <c r="N297" s="3" t="n">
        <v>-92</v>
      </c>
      <c r="O297" s="3" t="n">
        <v>0</v>
      </c>
      <c r="P297" s="3" t="n">
        <v>0</v>
      </c>
      <c r="Q297" s="3">
        <f>SUM(L297:P297)-I297</f>
        <v/>
      </c>
    </row>
    <row r="298">
      <c r="A298" s="2" t="inlineStr">
        <is>
          <t>samuel-swadling</t>
        </is>
      </c>
      <c r="B298" s="2" t="inlineStr">
        <is>
          <t>Samuel Swadling</t>
        </is>
      </c>
      <c r="C298" s="2" t="inlineStr">
        <is>
          <t>Collingwood</t>
        </is>
      </c>
      <c r="D298" s="2" t="inlineStr">
        <is>
          <t>MID</t>
        </is>
      </c>
      <c r="E298" s="2" t="n">
        <v>19</v>
      </c>
      <c r="F298" s="2" t="inlineStr">
        <is>
          <t>National pick 37</t>
        </is>
      </c>
      <c r="G298" s="3" t="n">
        <v>732</v>
      </c>
      <c r="H298" s="3" t="n">
        <v>637</v>
      </c>
      <c r="I298" s="3">
        <f>H298-G298</f>
        <v/>
      </c>
      <c r="J298" s="4">
        <f>IF(G298=0,"",(H298-G298)/G298)</f>
        <v/>
      </c>
      <c r="K298" s="4">
        <f>IF(G298=0,"",(H298-G298*0.891738)/(G298*0.891738))</f>
        <v/>
      </c>
      <c r="L298" s="3" t="n">
        <v>-13</v>
      </c>
      <c r="M298" s="3" t="n">
        <v>0</v>
      </c>
      <c r="N298" s="3" t="n">
        <v>-77</v>
      </c>
      <c r="O298" s="3" t="n">
        <v>-4</v>
      </c>
      <c r="P298" s="3" t="n">
        <v>-1</v>
      </c>
      <c r="Q298" s="3">
        <f>SUM(L298:P298)-I298</f>
        <v/>
      </c>
    </row>
    <row r="299">
      <c r="A299" s="2" t="inlineStr">
        <is>
          <t>elijah-hewett</t>
        </is>
      </c>
      <c r="B299" s="2" t="inlineStr">
        <is>
          <t>Elijah Hewett</t>
        </is>
      </c>
      <c r="C299" s="2" t="inlineStr">
        <is>
          <t>West Coast</t>
        </is>
      </c>
      <c r="D299" s="2" t="inlineStr">
        <is>
          <t>MID</t>
        </is>
      </c>
      <c r="E299" s="2" t="n">
        <v>22</v>
      </c>
      <c r="F299" s="2" t="inlineStr">
        <is>
          <t>National pick 14</t>
        </is>
      </c>
      <c r="G299" s="3" t="n">
        <v>753</v>
      </c>
      <c r="H299" s="3" t="n">
        <v>635</v>
      </c>
      <c r="I299" s="3">
        <f>H299-G299</f>
        <v/>
      </c>
      <c r="J299" s="4">
        <f>IF(G299=0,"",(H299-G299)/G299)</f>
        <v/>
      </c>
      <c r="K299" s="4">
        <f>IF(G299=0,"",(H299-G299*0.891738)/(G299*0.891738))</f>
        <v/>
      </c>
      <c r="L299" s="3" t="n">
        <v>-41</v>
      </c>
      <c r="M299" s="3" t="n">
        <v>0</v>
      </c>
      <c r="N299" s="3" t="n">
        <v>-77</v>
      </c>
      <c r="O299" s="3" t="n">
        <v>0</v>
      </c>
      <c r="P299" s="3" t="n">
        <v>0</v>
      </c>
      <c r="Q299" s="3">
        <f>SUM(L299:P299)-I299</f>
        <v/>
      </c>
    </row>
    <row r="300">
      <c r="A300" s="2" t="inlineStr">
        <is>
          <t>mitchell-edwards</t>
        </is>
      </c>
      <c r="B300" s="2" t="inlineStr">
        <is>
          <t>Mitchell Edwards</t>
        </is>
      </c>
      <c r="C300" s="2" t="inlineStr">
        <is>
          <t>Geelong</t>
        </is>
      </c>
      <c r="D300" s="2" t="inlineStr">
        <is>
          <t>RUCK</t>
        </is>
      </c>
      <c r="E300" s="2" t="n">
        <v>21</v>
      </c>
      <c r="F300" s="2" t="inlineStr">
        <is>
          <t>National pick 32</t>
        </is>
      </c>
      <c r="G300" s="3" t="n">
        <v>2164</v>
      </c>
      <c r="H300" s="3" t="n">
        <v>1875</v>
      </c>
      <c r="I300" s="3">
        <f>H300-G300</f>
        <v/>
      </c>
      <c r="J300" s="4">
        <f>IF(G300=0,"",(H300-G300)/G300)</f>
        <v/>
      </c>
      <c r="K300" s="4">
        <f>IF(G300=0,"",(H300-G300*0.891738)/(G300*0.891738))</f>
        <v/>
      </c>
      <c r="L300" s="3" t="n">
        <v>-62</v>
      </c>
      <c r="M300" s="3" t="n">
        <v>0</v>
      </c>
      <c r="N300" s="3" t="n">
        <v>-227</v>
      </c>
      <c r="O300" s="3" t="n">
        <v>0</v>
      </c>
      <c r="P300" s="3" t="n">
        <v>0</v>
      </c>
      <c r="Q300" s="3">
        <f>SUM(L300:P300)-I300</f>
        <v/>
      </c>
    </row>
    <row r="301">
      <c r="A301" s="2" t="inlineStr">
        <is>
          <t>patrick-lipinski</t>
        </is>
      </c>
      <c r="B301" s="2" t="inlineStr">
        <is>
          <t>Patrick Lipinski</t>
        </is>
      </c>
      <c r="C301" s="2" t="inlineStr">
        <is>
          <t>Collingwood</t>
        </is>
      </c>
      <c r="D301" s="2" t="inlineStr">
        <is>
          <t>SF</t>
        </is>
      </c>
      <c r="E301" s="2" t="n">
        <v>28</v>
      </c>
      <c r="F301" s="2" t="inlineStr">
        <is>
          <t>National pick 28</t>
        </is>
      </c>
      <c r="G301" s="3" t="n">
        <v>743</v>
      </c>
      <c r="H301" s="3" t="n">
        <v>653</v>
      </c>
      <c r="I301" s="3">
        <f>H301-G301</f>
        <v/>
      </c>
      <c r="J301" s="4">
        <f>IF(G301=0,"",(H301-G301)/G301)</f>
        <v/>
      </c>
      <c r="K301" s="4">
        <f>IF(G301=0,"",(H301-G301*0.891738)/(G301*0.891738))</f>
        <v/>
      </c>
      <c r="L301" s="3" t="n">
        <v>-10</v>
      </c>
      <c r="M301" s="3" t="n">
        <v>0</v>
      </c>
      <c r="N301" s="3" t="n">
        <v>-80</v>
      </c>
      <c r="O301" s="3" t="n">
        <v>0</v>
      </c>
      <c r="P301" s="3" t="n">
        <v>0</v>
      </c>
      <c r="Q301" s="3">
        <f>SUM(L301:P301)-I301</f>
        <v/>
      </c>
    </row>
    <row r="302">
      <c r="A302" s="2" t="inlineStr">
        <is>
          <t>ollie-murphy</t>
        </is>
      </c>
      <c r="B302" s="2" t="inlineStr">
        <is>
          <t>Ollie Murphy</t>
        </is>
      </c>
      <c r="C302" s="2" t="inlineStr">
        <is>
          <t>Fremantle</t>
        </is>
      </c>
      <c r="D302" s="2" t="inlineStr">
        <is>
          <t>KPD</t>
        </is>
      </c>
      <c r="E302" s="2" t="n">
        <v>21</v>
      </c>
      <c r="F302" s="2" t="inlineStr">
        <is>
          <t>National pick 41</t>
        </is>
      </c>
      <c r="G302" s="3" t="n">
        <v>169</v>
      </c>
      <c r="H302" s="3" t="n">
        <v>156</v>
      </c>
      <c r="I302" s="3">
        <f>H302-G302</f>
        <v/>
      </c>
      <c r="J302" s="4">
        <f>IF(G302=0,"",(H302-G302)/G302)</f>
        <v/>
      </c>
      <c r="K302" s="4">
        <f>IF(G302=0,"",(H302-G302*0.891738)/(G302*0.891738))</f>
        <v/>
      </c>
      <c r="L302" s="3" t="n">
        <v>0</v>
      </c>
      <c r="M302" s="3" t="n">
        <v>0</v>
      </c>
      <c r="N302" s="3" t="n">
        <v>-13</v>
      </c>
      <c r="O302" s="3" t="n">
        <v>0</v>
      </c>
      <c r="P302" s="3" t="n">
        <v>0</v>
      </c>
      <c r="Q302" s="3">
        <f>SUM(L302:P302)-I302</f>
        <v/>
      </c>
    </row>
    <row r="303">
      <c r="A303" s="2" t="inlineStr">
        <is>
          <t>jhye-clark</t>
        </is>
      </c>
      <c r="B303" s="2" t="inlineStr">
        <is>
          <t>Jhye Clark</t>
        </is>
      </c>
      <c r="C303" s="2" t="inlineStr">
        <is>
          <t>Geelong</t>
        </is>
      </c>
      <c r="D303" s="2" t="inlineStr">
        <is>
          <t>MID</t>
        </is>
      </c>
      <c r="E303" s="2" t="n">
        <v>22</v>
      </c>
      <c r="F303" s="2" t="inlineStr">
        <is>
          <t>National pick 8</t>
        </is>
      </c>
      <c r="G303" s="3" t="n">
        <v>834</v>
      </c>
      <c r="H303" s="3" t="n">
        <v>703</v>
      </c>
      <c r="I303" s="3">
        <f>H303-G303</f>
        <v/>
      </c>
      <c r="J303" s="4">
        <f>IF(G303=0,"",(H303-G303)/G303)</f>
        <v/>
      </c>
      <c r="K303" s="4">
        <f>IF(G303=0,"",(H303-G303*0.891738)/(G303*0.891738))</f>
        <v/>
      </c>
      <c r="L303" s="3" t="n">
        <v>-45</v>
      </c>
      <c r="M303" s="3" t="n">
        <v>0</v>
      </c>
      <c r="N303" s="3" t="n">
        <v>-86</v>
      </c>
      <c r="O303" s="3" t="n">
        <v>0</v>
      </c>
      <c r="P303" s="3" t="n">
        <v>0</v>
      </c>
      <c r="Q303" s="3">
        <f>SUM(L303:P303)-I303</f>
        <v/>
      </c>
    </row>
    <row r="304">
      <c r="A304" s="2" t="inlineStr">
        <is>
          <t>jacob-konstanty</t>
        </is>
      </c>
      <c r="B304" s="2" t="inlineStr">
        <is>
          <t>Jacob Konstanty</t>
        </is>
      </c>
      <c r="C304" s="2" t="inlineStr">
        <is>
          <t>North Melbourne</t>
        </is>
      </c>
      <c r="D304" s="2" t="inlineStr">
        <is>
          <t>SF</t>
        </is>
      </c>
      <c r="E304" s="2" t="n">
        <v>22</v>
      </c>
      <c r="F304" s="2" t="inlineStr">
        <is>
          <t>National pick 20</t>
        </is>
      </c>
      <c r="G304" s="3" t="n">
        <v>159</v>
      </c>
      <c r="H304" s="3" t="n">
        <v>152</v>
      </c>
      <c r="I304" s="3">
        <f>H304-G304</f>
        <v/>
      </c>
      <c r="J304" s="4">
        <f>IF(G304=0,"",(H304-G304)/G304)</f>
        <v/>
      </c>
      <c r="K304" s="4">
        <f>IF(G304=0,"",(H304-G304*0.891738)/(G304*0.891738))</f>
        <v/>
      </c>
      <c r="L304" s="3" t="n">
        <v>-1</v>
      </c>
      <c r="M304" s="3" t="n">
        <v>0</v>
      </c>
      <c r="N304" s="3" t="n">
        <v>-6</v>
      </c>
      <c r="O304" s="3" t="n">
        <v>0</v>
      </c>
      <c r="P304" s="3" t="n">
        <v>0</v>
      </c>
      <c r="Q304" s="3">
        <f>SUM(L304:P304)-I304</f>
        <v/>
      </c>
    </row>
    <row r="305">
      <c r="A305" s="2" t="inlineStr">
        <is>
          <t>hugh-davies</t>
        </is>
      </c>
      <c r="B305" s="2" t="inlineStr">
        <is>
          <t>Hugh Davies</t>
        </is>
      </c>
      <c r="C305" s="2" t="inlineStr">
        <is>
          <t>Fremantle</t>
        </is>
      </c>
      <c r="D305" s="2" t="inlineStr">
        <is>
          <t>KPD</t>
        </is>
      </c>
      <c r="E305" s="2" t="n">
        <v>22</v>
      </c>
      <c r="F305" s="2" t="inlineStr">
        <is>
          <t>National pick 33</t>
        </is>
      </c>
      <c r="G305" s="3" t="n">
        <v>186</v>
      </c>
      <c r="H305" s="3" t="n">
        <v>178</v>
      </c>
      <c r="I305" s="3">
        <f>H305-G305</f>
        <v/>
      </c>
      <c r="J305" s="4">
        <f>IF(G305=0,"",(H305-G305)/G305)</f>
        <v/>
      </c>
      <c r="K305" s="4">
        <f>IF(G305=0,"",(H305-G305*0.891738)/(G305*0.891738))</f>
        <v/>
      </c>
      <c r="L305" s="3" t="n">
        <v>0</v>
      </c>
      <c r="M305" s="3" t="n">
        <v>0</v>
      </c>
      <c r="N305" s="3" t="n">
        <v>-8</v>
      </c>
      <c r="O305" s="3" t="n">
        <v>0</v>
      </c>
      <c r="P305" s="3" t="n">
        <v>0</v>
      </c>
      <c r="Q305" s="3">
        <f>SUM(L305:P305)-I305</f>
        <v/>
      </c>
    </row>
    <row r="306">
      <c r="A306" s="2" t="inlineStr">
        <is>
          <t>jack-silvagni</t>
        </is>
      </c>
      <c r="B306" s="2" t="inlineStr">
        <is>
          <t>Jack Silvagni</t>
        </is>
      </c>
      <c r="C306" s="2" t="inlineStr">
        <is>
          <t>St Kilda</t>
        </is>
      </c>
      <c r="D306" s="2" t="inlineStr">
        <is>
          <t>KPD</t>
        </is>
      </c>
      <c r="E306" s="2" t="n">
        <v>29</v>
      </c>
      <c r="F306" s="2" t="inlineStr">
        <is>
          <t>National pick 53</t>
        </is>
      </c>
      <c r="G306" s="3" t="n">
        <v>792</v>
      </c>
      <c r="H306" s="3" t="n">
        <v>697</v>
      </c>
      <c r="I306" s="3">
        <f>H306-G306</f>
        <v/>
      </c>
      <c r="J306" s="4">
        <f>IF(G306=0,"",(H306-G306)/G306)</f>
        <v/>
      </c>
      <c r="K306" s="4">
        <f>IF(G306=0,"",(H306-G306*0.891738)/(G306*0.891738))</f>
        <v/>
      </c>
      <c r="L306" s="3" t="n">
        <v>-10</v>
      </c>
      <c r="M306" s="3" t="n">
        <v>0</v>
      </c>
      <c r="N306" s="3" t="n">
        <v>-85</v>
      </c>
      <c r="O306" s="3" t="n">
        <v>0</v>
      </c>
      <c r="P306" s="3" t="n">
        <v>0</v>
      </c>
      <c r="Q306" s="3">
        <f>SUM(L306:P306)-I306</f>
        <v/>
      </c>
    </row>
    <row r="307">
      <c r="A307" s="2" t="inlineStr">
        <is>
          <t>matthew-jefferson</t>
        </is>
      </c>
      <c r="B307" s="2" t="inlineStr">
        <is>
          <t>Matthew Jefferson</t>
        </is>
      </c>
      <c r="C307" s="2" t="inlineStr">
        <is>
          <t>Melbourne</t>
        </is>
      </c>
      <c r="D307" s="2" t="inlineStr">
        <is>
          <t>KPF</t>
        </is>
      </c>
      <c r="E307" s="2" t="n">
        <v>22</v>
      </c>
      <c r="F307" s="2" t="inlineStr">
        <is>
          <t>National pick 15</t>
        </is>
      </c>
      <c r="G307" s="3" t="n">
        <v>426</v>
      </c>
      <c r="H307" s="3" t="n">
        <v>352</v>
      </c>
      <c r="I307" s="3">
        <f>H307-G307</f>
        <v/>
      </c>
      <c r="J307" s="4">
        <f>IF(G307=0,"",(H307-G307)/G307)</f>
        <v/>
      </c>
      <c r="K307" s="4">
        <f>IF(G307=0,"",(H307-G307*0.891738)/(G307*0.891738))</f>
        <v/>
      </c>
      <c r="L307" s="3" t="n">
        <v>-32</v>
      </c>
      <c r="M307" s="3" t="n">
        <v>0</v>
      </c>
      <c r="N307" s="3" t="n">
        <v>-42</v>
      </c>
      <c r="O307" s="3" t="n">
        <v>0</v>
      </c>
      <c r="P307" s="3" t="n">
        <v>0</v>
      </c>
      <c r="Q307" s="3">
        <f>SUM(L307:P307)-I307</f>
        <v/>
      </c>
    </row>
    <row r="308">
      <c r="A308" s="2" t="inlineStr">
        <is>
          <t>jye-caldwell</t>
        </is>
      </c>
      <c r="B308" s="2" t="inlineStr">
        <is>
          <t>Jye Caldwell</t>
        </is>
      </c>
      <c r="C308" s="2" t="inlineStr">
        <is>
          <t>Essendon</t>
        </is>
      </c>
      <c r="D308" s="2" t="inlineStr">
        <is>
          <t>MID</t>
        </is>
      </c>
      <c r="E308" s="2" t="n">
        <v>26</v>
      </c>
      <c r="F308" s="2" t="inlineStr">
        <is>
          <t>National pick 11</t>
        </is>
      </c>
      <c r="G308" s="3" t="n">
        <v>993</v>
      </c>
      <c r="H308" s="3" t="n">
        <v>874</v>
      </c>
      <c r="I308" s="3">
        <f>H308-G308</f>
        <v/>
      </c>
      <c r="J308" s="4">
        <f>IF(G308=0,"",(H308-G308)/G308)</f>
        <v/>
      </c>
      <c r="K308" s="4">
        <f>IF(G308=0,"",(H308-G308*0.891738)/(G308*0.891738))</f>
        <v/>
      </c>
      <c r="L308" s="3" t="n">
        <v>-13</v>
      </c>
      <c r="M308" s="3" t="n">
        <v>0</v>
      </c>
      <c r="N308" s="3" t="n">
        <v>-106</v>
      </c>
      <c r="O308" s="3" t="n">
        <v>0</v>
      </c>
      <c r="P308" s="3" t="n">
        <v>0</v>
      </c>
      <c r="Q308" s="3">
        <f>SUM(L308:P308)-I308</f>
        <v/>
      </c>
    </row>
    <row r="309">
      <c r="A309" s="2" t="inlineStr">
        <is>
          <t>kade-chandler</t>
        </is>
      </c>
      <c r="B309" s="2" t="inlineStr">
        <is>
          <t>Kade Chandler</t>
        </is>
      </c>
      <c r="C309" s="2" t="inlineStr">
        <is>
          <t>Melbourne</t>
        </is>
      </c>
      <c r="D309" s="2" t="inlineStr">
        <is>
          <t>SF</t>
        </is>
      </c>
      <c r="E309" s="2" t="n">
        <v>26</v>
      </c>
      <c r="F309" s="2" t="inlineStr">
        <is>
          <t>Rookie pick 10</t>
        </is>
      </c>
      <c r="G309" s="3" t="n">
        <v>950</v>
      </c>
      <c r="H309" s="3" t="n">
        <v>833</v>
      </c>
      <c r="I309" s="3">
        <f>H309-G309</f>
        <v/>
      </c>
      <c r="J309" s="4">
        <f>IF(G309=0,"",(H309-G309)/G309)</f>
        <v/>
      </c>
      <c r="K309" s="4">
        <f>IF(G309=0,"",(H309-G309*0.891738)/(G309*0.891738))</f>
        <v/>
      </c>
      <c r="L309" s="3" t="n">
        <v>-16</v>
      </c>
      <c r="M309" s="3" t="n">
        <v>0</v>
      </c>
      <c r="N309" s="3" t="n">
        <v>-101</v>
      </c>
      <c r="O309" s="3" t="n">
        <v>0</v>
      </c>
      <c r="P309" s="3" t="n">
        <v>0</v>
      </c>
      <c r="Q309" s="3">
        <f>SUM(L309:P309)-I309</f>
        <v/>
      </c>
    </row>
    <row r="310">
      <c r="A310" s="2" t="inlineStr">
        <is>
          <t>ryan-maric</t>
        </is>
      </c>
      <c r="B310" s="2" t="inlineStr">
        <is>
          <t>Ryan Maric</t>
        </is>
      </c>
      <c r="C310" s="2" t="inlineStr">
        <is>
          <t>West Coast</t>
        </is>
      </c>
      <c r="D310" s="2" t="inlineStr">
        <is>
          <t>MID</t>
        </is>
      </c>
      <c r="E310" s="2" t="n">
        <v>22</v>
      </c>
      <c r="F310" s="2" t="inlineStr">
        <is>
          <t>Mid-Season pick 1</t>
        </is>
      </c>
      <c r="G310" s="3" t="n">
        <v>1397</v>
      </c>
      <c r="H310" s="3" t="n">
        <v>1201</v>
      </c>
      <c r="I310" s="3">
        <f>H310-G310</f>
        <v/>
      </c>
      <c r="J310" s="4">
        <f>IF(G310=0,"",(H310-G310)/G310)</f>
        <v/>
      </c>
      <c r="K310" s="4">
        <f>IF(G310=0,"",(H310-G310*0.891738)/(G310*0.891738))</f>
        <v/>
      </c>
      <c r="L310" s="3" t="n">
        <v>-51</v>
      </c>
      <c r="M310" s="3" t="n">
        <v>0</v>
      </c>
      <c r="N310" s="3" t="n">
        <v>-145</v>
      </c>
      <c r="O310" s="3" t="n">
        <v>0</v>
      </c>
      <c r="P310" s="3" t="n">
        <v>0</v>
      </c>
      <c r="Q310" s="3">
        <f>SUM(L310:P310)-I310</f>
        <v/>
      </c>
    </row>
    <row r="311">
      <c r="A311" s="2" t="inlineStr">
        <is>
          <t>ned-long</t>
        </is>
      </c>
      <c r="B311" s="2" t="inlineStr">
        <is>
          <t>Ned Long</t>
        </is>
      </c>
      <c r="C311" s="2" t="inlineStr">
        <is>
          <t>Collingwood</t>
        </is>
      </c>
      <c r="D311" s="2" t="inlineStr">
        <is>
          <t>MID</t>
        </is>
      </c>
      <c r="E311" s="2" t="n">
        <v>23</v>
      </c>
      <c r="F311" s="2" t="inlineStr">
        <is>
          <t>Rookie pick 3</t>
        </is>
      </c>
      <c r="G311" s="3" t="n">
        <v>1349</v>
      </c>
      <c r="H311" s="3" t="n">
        <v>1146</v>
      </c>
      <c r="I311" s="3">
        <f>H311-G311</f>
        <v/>
      </c>
      <c r="J311" s="4">
        <f>IF(G311=0,"",(H311-G311)/G311)</f>
        <v/>
      </c>
      <c r="K311" s="4">
        <f>IF(G311=0,"",(H311-G311*0.891738)/(G311*0.891738))</f>
        <v/>
      </c>
      <c r="L311" s="3" t="n">
        <v>-63</v>
      </c>
      <c r="M311" s="3" t="n">
        <v>0</v>
      </c>
      <c r="N311" s="3" t="n">
        <v>-140</v>
      </c>
      <c r="O311" s="3" t="n">
        <v>0</v>
      </c>
      <c r="P311" s="3" t="n">
        <v>0</v>
      </c>
      <c r="Q311" s="3">
        <f>SUM(L311:P311)-I311</f>
        <v/>
      </c>
    </row>
    <row r="312">
      <c r="A312" s="2" t="inlineStr">
        <is>
          <t>luke-lloyd</t>
        </is>
      </c>
      <c r="B312" s="2" t="inlineStr">
        <is>
          <t>Luke Lloyd</t>
        </is>
      </c>
      <c r="C312" s="2" t="inlineStr">
        <is>
          <t>Brisbane</t>
        </is>
      </c>
      <c r="D312" s="2" t="inlineStr">
        <is>
          <t>KPD</t>
        </is>
      </c>
      <c r="E312" s="2" t="n">
        <v>21</v>
      </c>
      <c r="F312" s="2" t="inlineStr">
        <is>
          <t>National pick 42</t>
        </is>
      </c>
      <c r="G312" s="3" t="n">
        <v>164</v>
      </c>
      <c r="H312" s="3" t="n">
        <v>151</v>
      </c>
      <c r="I312" s="3">
        <f>H312-G312</f>
        <v/>
      </c>
      <c r="J312" s="4">
        <f>IF(G312=0,"",(H312-G312)/G312)</f>
        <v/>
      </c>
      <c r="K312" s="4">
        <f>IF(G312=0,"",(H312-G312*0.891738)/(G312*0.891738))</f>
        <v/>
      </c>
      <c r="L312" s="3" t="n">
        <v>0</v>
      </c>
      <c r="M312" s="3" t="n">
        <v>0</v>
      </c>
      <c r="N312" s="3" t="n">
        <v>-13</v>
      </c>
      <c r="O312" s="3" t="n">
        <v>0</v>
      </c>
      <c r="P312" s="3" t="n">
        <v>0</v>
      </c>
      <c r="Q312" s="3">
        <f>SUM(L312:P312)-I312</f>
        <v/>
      </c>
    </row>
    <row r="313">
      <c r="A313" s="2" t="inlineStr">
        <is>
          <t>talor-byrne</t>
        </is>
      </c>
      <c r="B313" s="2" t="inlineStr">
        <is>
          <t>Talor Byrne</t>
        </is>
      </c>
      <c r="C313" s="2" t="inlineStr">
        <is>
          <t>Carlton</t>
        </is>
      </c>
      <c r="D313" s="2" t="inlineStr">
        <is>
          <t>SF</t>
        </is>
      </c>
      <c r="E313" s="2" t="n">
        <v>19</v>
      </c>
      <c r="F313" s="2" t="inlineStr">
        <is>
          <t>National pick 45</t>
        </is>
      </c>
      <c r="G313" s="3" t="n">
        <v>923</v>
      </c>
      <c r="H313" s="3" t="n">
        <v>620</v>
      </c>
      <c r="I313" s="3">
        <f>H313-G313</f>
        <v/>
      </c>
      <c r="J313" s="4">
        <f>IF(G313=0,"",(H313-G313)/G313)</f>
        <v/>
      </c>
      <c r="K313" s="4">
        <f>IF(G313=0,"",(H313-G313*0.891738)/(G313*0.891738))</f>
        <v/>
      </c>
      <c r="L313" s="3" t="n">
        <v>-228</v>
      </c>
      <c r="M313" s="3" t="n">
        <v>0</v>
      </c>
      <c r="N313" s="3" t="n">
        <v>-75</v>
      </c>
      <c r="O313" s="3" t="n">
        <v>0</v>
      </c>
      <c r="P313" s="3" t="n">
        <v>0</v>
      </c>
      <c r="Q313" s="3">
        <f>SUM(L313:P313)-I313</f>
        <v/>
      </c>
    </row>
    <row r="314">
      <c r="A314" s="2" t="inlineStr">
        <is>
          <t>ben-miller</t>
        </is>
      </c>
      <c r="B314" s="2" t="inlineStr">
        <is>
          <t>Ben Miller</t>
        </is>
      </c>
      <c r="C314" s="2" t="inlineStr">
        <is>
          <t>Richmond</t>
        </is>
      </c>
      <c r="D314" s="2" t="inlineStr">
        <is>
          <t>KPD</t>
        </is>
      </c>
      <c r="E314" s="2" t="n">
        <v>27</v>
      </c>
      <c r="F314" s="2" t="inlineStr">
        <is>
          <t>National pick 62</t>
        </is>
      </c>
      <c r="G314" s="3" t="n">
        <v>958</v>
      </c>
      <c r="H314" s="3" t="n">
        <v>845</v>
      </c>
      <c r="I314" s="3">
        <f>H314-G314</f>
        <v/>
      </c>
      <c r="J314" s="4">
        <f>IF(G314=0,"",(H314-G314)/G314)</f>
        <v/>
      </c>
      <c r="K314" s="4">
        <f>IF(G314=0,"",(H314-G314*0.891738)/(G314*0.891738))</f>
        <v/>
      </c>
      <c r="L314" s="3" t="n">
        <v>-12</v>
      </c>
      <c r="M314" s="3" t="n">
        <v>0</v>
      </c>
      <c r="N314" s="3" t="n">
        <v>-101</v>
      </c>
      <c r="O314" s="3" t="n">
        <v>0</v>
      </c>
      <c r="P314" s="3" t="n">
        <v>0</v>
      </c>
      <c r="Q314" s="3">
        <f>SUM(L314:P314)-I314</f>
        <v/>
      </c>
    </row>
    <row r="315">
      <c r="A315" s="2" t="inlineStr">
        <is>
          <t>edward-allan</t>
        </is>
      </c>
      <c r="B315" s="2" t="inlineStr">
        <is>
          <t>Edward Allan</t>
        </is>
      </c>
      <c r="C315" s="2" t="inlineStr">
        <is>
          <t>Collingwood</t>
        </is>
      </c>
      <c r="D315" s="2" t="inlineStr">
        <is>
          <t>MID</t>
        </is>
      </c>
      <c r="E315" s="2" t="n">
        <v>22</v>
      </c>
      <c r="F315" s="2" t="inlineStr">
        <is>
          <t>National pick 19</t>
        </is>
      </c>
      <c r="G315" s="3" t="n">
        <v>815</v>
      </c>
      <c r="H315" s="3" t="n">
        <v>686</v>
      </c>
      <c r="I315" s="3">
        <f>H315-G315</f>
        <v/>
      </c>
      <c r="J315" s="4">
        <f>IF(G315=0,"",(H315-G315)/G315)</f>
        <v/>
      </c>
      <c r="K315" s="4">
        <f>IF(G315=0,"",(H315-G315*0.891738)/(G315*0.891738))</f>
        <v/>
      </c>
      <c r="L315" s="3" t="n">
        <v>-46</v>
      </c>
      <c r="M315" s="3" t="n">
        <v>0</v>
      </c>
      <c r="N315" s="3" t="n">
        <v>-83</v>
      </c>
      <c r="O315" s="3" t="n">
        <v>0</v>
      </c>
      <c r="P315" s="3" t="n">
        <v>0</v>
      </c>
      <c r="Q315" s="3">
        <f>SUM(L315:P315)-I315</f>
        <v/>
      </c>
    </row>
    <row r="316">
      <c r="A316" s="2" t="inlineStr">
        <is>
          <t>josh-dolan</t>
        </is>
      </c>
      <c r="B316" s="2" t="inlineStr">
        <is>
          <t>Josh Dolan</t>
        </is>
      </c>
      <c r="C316" s="2" t="inlineStr">
        <is>
          <t>Western Bulldogs</t>
        </is>
      </c>
      <c r="D316" s="2" t="inlineStr">
        <is>
          <t>SF</t>
        </is>
      </c>
      <c r="E316" s="2" t="n">
        <v>20</v>
      </c>
      <c r="F316" s="2" t="inlineStr">
        <is>
          <t>National pick 31</t>
        </is>
      </c>
      <c r="G316" s="3" t="n">
        <v>505</v>
      </c>
      <c r="H316" s="3" t="n">
        <v>359</v>
      </c>
      <c r="I316" s="3">
        <f>H316-G316</f>
        <v/>
      </c>
      <c r="J316" s="4">
        <f>IF(G316=0,"",(H316-G316)/G316)</f>
        <v/>
      </c>
      <c r="K316" s="4">
        <f>IF(G316=0,"",(H316-G316*0.891738)/(G316*0.891738))</f>
        <v/>
      </c>
      <c r="L316" s="3" t="n">
        <v>-102</v>
      </c>
      <c r="M316" s="3" t="n">
        <v>0</v>
      </c>
      <c r="N316" s="3" t="n">
        <v>-44</v>
      </c>
      <c r="O316" s="3" t="n">
        <v>0</v>
      </c>
      <c r="P316" s="3" t="n">
        <v>0</v>
      </c>
      <c r="Q316" s="3">
        <f>SUM(L316:P316)-I316</f>
        <v/>
      </c>
    </row>
    <row r="317">
      <c r="A317" s="2" t="inlineStr">
        <is>
          <t>toby-conway</t>
        </is>
      </c>
      <c r="B317" s="2" t="inlineStr">
        <is>
          <t>Toby Conway</t>
        </is>
      </c>
      <c r="C317" s="2" t="inlineStr">
        <is>
          <t>Geelong</t>
        </is>
      </c>
      <c r="D317" s="2" t="inlineStr">
        <is>
          <t>RUCK</t>
        </is>
      </c>
      <c r="E317" s="2" t="n">
        <v>23</v>
      </c>
      <c r="F317" s="2" t="inlineStr">
        <is>
          <t>National pick 24</t>
        </is>
      </c>
      <c r="G317" s="3" t="n">
        <v>503</v>
      </c>
      <c r="H317" s="3" t="n">
        <v>483</v>
      </c>
      <c r="I317" s="3">
        <f>H317-G317</f>
        <v/>
      </c>
      <c r="J317" s="4">
        <f>IF(G317=0,"",(H317-G317)/G317)</f>
        <v/>
      </c>
      <c r="K317" s="4">
        <f>IF(G317=0,"",(H317-G317*0.891738)/(G317*0.891738))</f>
        <v/>
      </c>
      <c r="L317" s="3" t="n">
        <v>0</v>
      </c>
      <c r="M317" s="3" t="n">
        <v>0</v>
      </c>
      <c r="N317" s="3" t="n">
        <v>-20</v>
      </c>
      <c r="O317" s="3" t="n">
        <v>0</v>
      </c>
      <c r="P317" s="3" t="n">
        <v>0</v>
      </c>
      <c r="Q317" s="3">
        <f>SUM(L317:P317)-I317</f>
        <v/>
      </c>
    </row>
    <row r="318">
      <c r="A318" s="2" t="inlineStr">
        <is>
          <t>ben-king</t>
        </is>
      </c>
      <c r="B318" s="2" t="inlineStr">
        <is>
          <t>Ben King</t>
        </is>
      </c>
      <c r="C318" s="2" t="inlineStr">
        <is>
          <t>Gold Coast</t>
        </is>
      </c>
      <c r="D318" s="2" t="inlineStr">
        <is>
          <t>KPF</t>
        </is>
      </c>
      <c r="E318" s="2" t="n">
        <v>26</v>
      </c>
      <c r="F318" s="2" t="inlineStr">
        <is>
          <t>National pick 6</t>
        </is>
      </c>
      <c r="G318" s="3" t="n">
        <v>238</v>
      </c>
      <c r="H318" s="3" t="n">
        <v>199</v>
      </c>
      <c r="I318" s="3">
        <f>H318-G318</f>
        <v/>
      </c>
      <c r="J318" s="4">
        <f>IF(G318=0,"",(H318-G318)/G318)</f>
        <v/>
      </c>
      <c r="K318" s="4">
        <f>IF(G318=0,"",(H318-G318*0.891738)/(G318*0.891738))</f>
        <v/>
      </c>
      <c r="L318" s="3" t="n">
        <v>-4</v>
      </c>
      <c r="M318" s="3" t="n">
        <v>-11</v>
      </c>
      <c r="N318" s="3" t="n">
        <v>-24</v>
      </c>
      <c r="O318" s="3" t="n">
        <v>0</v>
      </c>
      <c r="P318" s="3" t="n">
        <v>0</v>
      </c>
      <c r="Q318" s="3">
        <f>SUM(L318:P318)-I318</f>
        <v/>
      </c>
    </row>
    <row r="319">
      <c r="A319" s="2" t="inlineStr">
        <is>
          <t>tai-hayes</t>
        </is>
      </c>
      <c r="B319" s="2" t="inlineStr">
        <is>
          <t>Tai Hayes</t>
        </is>
      </c>
      <c r="C319" s="2" t="inlineStr">
        <is>
          <t>Brisbane</t>
        </is>
      </c>
      <c r="D319" s="2" t="inlineStr">
        <is>
          <t>SF</t>
        </is>
      </c>
      <c r="E319" s="2" t="n">
        <v>22</v>
      </c>
      <c r="F319" s="2" t="inlineStr">
        <is>
          <t>National pick 44</t>
        </is>
      </c>
      <c r="G319" s="3" t="n">
        <v>201</v>
      </c>
      <c r="H319" s="3" t="n">
        <v>183</v>
      </c>
      <c r="I319" s="3">
        <f>H319-G319</f>
        <v/>
      </c>
      <c r="J319" s="4">
        <f>IF(G319=0,"",(H319-G319)/G319)</f>
        <v/>
      </c>
      <c r="K319" s="4">
        <f>IF(G319=0,"",(H319-G319*0.891738)/(G319*0.891738))</f>
        <v/>
      </c>
      <c r="L319" s="3" t="n">
        <v>0</v>
      </c>
      <c r="M319" s="3" t="n">
        <v>0</v>
      </c>
      <c r="N319" s="3" t="n">
        <v>-18</v>
      </c>
      <c r="O319" s="3" t="n">
        <v>0</v>
      </c>
      <c r="P319" s="3" t="n">
        <v>0</v>
      </c>
      <c r="Q319" s="3">
        <f>SUM(L319:P319)-I319</f>
        <v/>
      </c>
    </row>
    <row r="320">
      <c r="A320" s="2" t="inlineStr">
        <is>
          <t>harry-demattia</t>
        </is>
      </c>
      <c r="B320" s="2" t="inlineStr">
        <is>
          <t>Harry DeMattia</t>
        </is>
      </c>
      <c r="C320" s="2" t="inlineStr">
        <is>
          <t>Collingwood</t>
        </is>
      </c>
      <c r="D320" s="2" t="inlineStr">
        <is>
          <t>MID</t>
        </is>
      </c>
      <c r="E320" s="2" t="n">
        <v>21</v>
      </c>
      <c r="F320" s="2" t="inlineStr">
        <is>
          <t>National pick 25</t>
        </is>
      </c>
      <c r="G320" s="3" t="n">
        <v>430</v>
      </c>
      <c r="H320" s="3" t="n">
        <v>411</v>
      </c>
      <c r="I320" s="3">
        <f>H320-G320</f>
        <v/>
      </c>
      <c r="J320" s="4">
        <f>IF(G320=0,"",(H320-G320)/G320)</f>
        <v/>
      </c>
      <c r="K320" s="4">
        <f>IF(G320=0,"",(H320-G320*0.891738)/(G320*0.891738))</f>
        <v/>
      </c>
      <c r="L320" s="3" t="n">
        <v>0</v>
      </c>
      <c r="M320" s="3" t="n">
        <v>0</v>
      </c>
      <c r="N320" s="3" t="n">
        <v>-19</v>
      </c>
      <c r="O320" s="3" t="n">
        <v>0</v>
      </c>
      <c r="P320" s="3" t="n">
        <v>0</v>
      </c>
      <c r="Q320" s="3">
        <f>SUM(L320:P320)-I320</f>
        <v/>
      </c>
    </row>
    <row r="321">
      <c r="A321" s="2" t="inlineStr">
        <is>
          <t>lachlan-cowan</t>
        </is>
      </c>
      <c r="B321" s="2" t="inlineStr">
        <is>
          <t>Lachlan Cowan</t>
        </is>
      </c>
      <c r="C321" s="2" t="inlineStr">
        <is>
          <t>Carlton</t>
        </is>
      </c>
      <c r="D321" s="2" t="inlineStr">
        <is>
          <t>SD</t>
        </is>
      </c>
      <c r="E321" s="2" t="n">
        <v>22</v>
      </c>
      <c r="F321" s="2" t="inlineStr">
        <is>
          <t>National pick 30</t>
        </is>
      </c>
      <c r="G321" s="3" t="n">
        <v>722</v>
      </c>
      <c r="H321" s="3" t="n">
        <v>619</v>
      </c>
      <c r="I321" s="3">
        <f>H321-G321</f>
        <v/>
      </c>
      <c r="J321" s="4">
        <f>IF(G321=0,"",(H321-G321)/G321)</f>
        <v/>
      </c>
      <c r="K321" s="4">
        <f>IF(G321=0,"",(H321-G321*0.891738)/(G321*0.891738))</f>
        <v/>
      </c>
      <c r="L321" s="3" t="n">
        <v>-28</v>
      </c>
      <c r="M321" s="3" t="n">
        <v>0</v>
      </c>
      <c r="N321" s="3" t="n">
        <v>-75</v>
      </c>
      <c r="O321" s="3" t="n">
        <v>0</v>
      </c>
      <c r="P321" s="3" t="n">
        <v>0</v>
      </c>
      <c r="Q321" s="3">
        <f>SUM(L321:P321)-I321</f>
        <v/>
      </c>
    </row>
    <row r="322">
      <c r="A322" s="2" t="inlineStr">
        <is>
          <t>sean-darcy</t>
        </is>
      </c>
      <c r="B322" s="2" t="inlineStr">
        <is>
          <t>Sean Darcy</t>
        </is>
      </c>
      <c r="C322" s="2" t="inlineStr">
        <is>
          <t>Fremantle</t>
        </is>
      </c>
      <c r="D322" s="2" t="inlineStr">
        <is>
          <t>RUCK</t>
        </is>
      </c>
      <c r="E322" s="2" t="n">
        <v>28</v>
      </c>
      <c r="F322" s="2" t="inlineStr">
        <is>
          <t>National pick 38</t>
        </is>
      </c>
      <c r="G322" s="3" t="n">
        <v>757</v>
      </c>
      <c r="H322" s="3" t="n">
        <v>665</v>
      </c>
      <c r="I322" s="3">
        <f>H322-G322</f>
        <v/>
      </c>
      <c r="J322" s="4">
        <f>IF(G322=0,"",(H322-G322)/G322)</f>
        <v/>
      </c>
      <c r="K322" s="4">
        <f>IF(G322=0,"",(H322-G322*0.891738)/(G322*0.891738))</f>
        <v/>
      </c>
      <c r="L322" s="3" t="n">
        <v>-11</v>
      </c>
      <c r="M322" s="3" t="n">
        <v>0</v>
      </c>
      <c r="N322" s="3" t="n">
        <v>-81</v>
      </c>
      <c r="O322" s="3" t="n">
        <v>0</v>
      </c>
      <c r="P322" s="3" t="n">
        <v>0</v>
      </c>
      <c r="Q322" s="3">
        <f>SUM(L322:P322)-I322</f>
        <v/>
      </c>
    </row>
    <row r="323">
      <c r="A323" s="2" t="inlineStr">
        <is>
          <t>max-kondogiannis</t>
        </is>
      </c>
      <c r="B323" s="2" t="inlineStr">
        <is>
          <t>Max Kondogiannis</t>
        </is>
      </c>
      <c r="C323" s="2" t="inlineStr">
        <is>
          <t>Essendon</t>
        </is>
      </c>
      <c r="D323" s="2" t="inlineStr">
        <is>
          <t>SD</t>
        </is>
      </c>
      <c r="E323" s="2" t="n">
        <v>19</v>
      </c>
      <c r="F323" s="2" t="inlineStr">
        <is>
          <t>National pick 36</t>
        </is>
      </c>
      <c r="G323" s="3" t="n">
        <v>464</v>
      </c>
      <c r="H323" s="3" t="n">
        <v>355</v>
      </c>
      <c r="I323" s="3">
        <f>H323-G323</f>
        <v/>
      </c>
      <c r="J323" s="4">
        <f>IF(G323=0,"",(H323-G323)/G323)</f>
        <v/>
      </c>
      <c r="K323" s="4">
        <f>IF(G323=0,"",(H323-G323*0.891738)/(G323*0.891738))</f>
        <v/>
      </c>
      <c r="L323" s="3" t="n">
        <v>-66</v>
      </c>
      <c r="M323" s="3" t="n">
        <v>0</v>
      </c>
      <c r="N323" s="3" t="n">
        <v>-43</v>
      </c>
      <c r="O323" s="3" t="n">
        <v>0</v>
      </c>
      <c r="P323" s="3" t="n">
        <v>0</v>
      </c>
      <c r="Q323" s="3">
        <f>SUM(L323:P323)-I323</f>
        <v/>
      </c>
    </row>
    <row r="324">
      <c r="A324" s="2" t="inlineStr">
        <is>
          <t>jeremy-cameron</t>
        </is>
      </c>
      <c r="B324" s="2" t="inlineStr">
        <is>
          <t>Jeremy Cameron</t>
        </is>
      </c>
      <c r="C324" s="2" t="inlineStr">
        <is>
          <t>Geelong</t>
        </is>
      </c>
      <c r="D324" s="2" t="inlineStr">
        <is>
          <t>KPF</t>
        </is>
      </c>
      <c r="E324" s="2" t="n">
        <v>33</v>
      </c>
      <c r="F324" s="2" t="inlineStr">
        <is>
          <t>National pick 12</t>
        </is>
      </c>
      <c r="G324" s="3" t="n">
        <v>827</v>
      </c>
      <c r="H324" s="3" t="n">
        <v>695</v>
      </c>
      <c r="I324" s="3">
        <f>H324-G324</f>
        <v/>
      </c>
      <c r="J324" s="4">
        <f>IF(G324=0,"",(H324-G324)/G324)</f>
        <v/>
      </c>
      <c r="K324" s="4">
        <f>IF(G324=0,"",(H324-G324*0.891738)/(G324*0.891738))</f>
        <v/>
      </c>
      <c r="L324" s="3" t="n">
        <v>-12</v>
      </c>
      <c r="M324" s="3" t="n">
        <v>-36</v>
      </c>
      <c r="N324" s="3" t="n">
        <v>-84</v>
      </c>
      <c r="O324" s="3" t="n">
        <v>0</v>
      </c>
      <c r="P324" s="3" t="n">
        <v>0</v>
      </c>
      <c r="Q324" s="3">
        <f>SUM(L324:P324)-I324</f>
        <v/>
      </c>
    </row>
    <row r="325">
      <c r="A325" s="2" t="inlineStr">
        <is>
          <t>oscar-ryan</t>
        </is>
      </c>
      <c r="B325" s="2" t="inlineStr">
        <is>
          <t>Oscar Ryan</t>
        </is>
      </c>
      <c r="C325" s="2" t="inlineStr">
        <is>
          <t>Adelaide</t>
        </is>
      </c>
      <c r="D325" s="2" t="inlineStr">
        <is>
          <t>SD</t>
        </is>
      </c>
      <c r="E325" s="2" t="n">
        <v>21</v>
      </c>
      <c r="F325" s="2" t="inlineStr">
        <is>
          <t>National pick 27</t>
        </is>
      </c>
      <c r="G325" s="3" t="n">
        <v>304</v>
      </c>
      <c r="H325" s="3" t="n">
        <v>242</v>
      </c>
      <c r="I325" s="3">
        <f>H325-G325</f>
        <v/>
      </c>
      <c r="J325" s="4">
        <f>IF(G325=0,"",(H325-G325)/G325)</f>
        <v/>
      </c>
      <c r="K325" s="4">
        <f>IF(G325=0,"",(H325-G325*0.891738)/(G325*0.891738))</f>
        <v/>
      </c>
      <c r="L325" s="3" t="n">
        <v>-16</v>
      </c>
      <c r="M325" s="3" t="n">
        <v>0</v>
      </c>
      <c r="N325" s="3" t="n">
        <v>-17</v>
      </c>
      <c r="O325" s="3" t="n">
        <v>-14</v>
      </c>
      <c r="P325" s="3" t="n">
        <v>-15</v>
      </c>
      <c r="Q325" s="3">
        <f>SUM(L325:P325)-I325</f>
        <v/>
      </c>
    </row>
    <row r="326">
      <c r="A326" s="2" t="inlineStr">
        <is>
          <t>bailey-williams-wb</t>
        </is>
      </c>
      <c r="B326" s="2" t="inlineStr">
        <is>
          <t>Bailey Williams</t>
        </is>
      </c>
      <c r="C326" s="2" t="inlineStr">
        <is>
          <t>Western Bulldogs</t>
        </is>
      </c>
      <c r="D326" s="2" t="inlineStr">
        <is>
          <t>SD</t>
        </is>
      </c>
      <c r="E326" s="2" t="n">
        <v>29</v>
      </c>
      <c r="F326" s="2" t="inlineStr">
        <is>
          <t>National pick 48</t>
        </is>
      </c>
      <c r="G326" s="3" t="n">
        <v>598</v>
      </c>
      <c r="H326" s="3" t="n">
        <v>525</v>
      </c>
      <c r="I326" s="3">
        <f>H326-G326</f>
        <v/>
      </c>
      <c r="J326" s="4">
        <f>IF(G326=0,"",(H326-G326)/G326)</f>
        <v/>
      </c>
      <c r="K326" s="4">
        <f>IF(G326=0,"",(H326-G326*0.891738)/(G326*0.891738))</f>
        <v/>
      </c>
      <c r="L326" s="3" t="n">
        <v>-9</v>
      </c>
      <c r="M326" s="3" t="n">
        <v>0</v>
      </c>
      <c r="N326" s="3" t="n">
        <v>-64</v>
      </c>
      <c r="O326" s="3" t="n">
        <v>0</v>
      </c>
      <c r="P326" s="3" t="n">
        <v>0</v>
      </c>
      <c r="Q326" s="3">
        <f>SUM(L326:P326)-I326</f>
        <v/>
      </c>
    </row>
    <row r="327">
      <c r="A327" s="2" t="inlineStr">
        <is>
          <t>charlie-banfield</t>
        </is>
      </c>
      <c r="B327" s="2" t="inlineStr">
        <is>
          <t>Charlie Banfield</t>
        </is>
      </c>
      <c r="C327" s="2" t="inlineStr">
        <is>
          <t>St Kilda</t>
        </is>
      </c>
      <c r="D327" s="2" t="inlineStr">
        <is>
          <t>MID</t>
        </is>
      </c>
      <c r="E327" s="2" t="n">
        <v>19</v>
      </c>
      <c r="F327" s="2" t="inlineStr">
        <is>
          <t>National pick 41</t>
        </is>
      </c>
      <c r="G327" s="3" t="n">
        <v>639</v>
      </c>
      <c r="H327" s="3" t="n">
        <v>419</v>
      </c>
      <c r="I327" s="3">
        <f>H327-G327</f>
        <v/>
      </c>
      <c r="J327" s="4">
        <f>IF(G327=0,"",(H327-G327)/G327)</f>
        <v/>
      </c>
      <c r="K327" s="4">
        <f>IF(G327=0,"",(H327-G327*0.891738)/(G327*0.891738))</f>
        <v/>
      </c>
      <c r="L327" s="3" t="n">
        <v>-147</v>
      </c>
      <c r="M327" s="3" t="n">
        <v>0</v>
      </c>
      <c r="N327" s="3" t="n">
        <v>-49</v>
      </c>
      <c r="O327" s="3" t="n">
        <v>-14</v>
      </c>
      <c r="P327" s="3" t="n">
        <v>-10</v>
      </c>
      <c r="Q327" s="3">
        <f>SUM(L327:P327)-I327</f>
        <v/>
      </c>
    </row>
    <row r="328">
      <c r="A328" s="2" t="inlineStr">
        <is>
          <t>christian-moraes</t>
        </is>
      </c>
      <c r="B328" s="2" t="inlineStr">
        <is>
          <t>Christian Moraes</t>
        </is>
      </c>
      <c r="C328" s="2" t="inlineStr">
        <is>
          <t>Port Adelaide</t>
        </is>
      </c>
      <c r="D328" s="2" t="inlineStr">
        <is>
          <t>MID</t>
        </is>
      </c>
      <c r="E328" s="2" t="n">
        <v>20</v>
      </c>
      <c r="F328" s="2" t="inlineStr">
        <is>
          <t>National pick 38</t>
        </is>
      </c>
      <c r="G328" s="3" t="n">
        <v>921</v>
      </c>
      <c r="H328" s="3" t="n">
        <v>666</v>
      </c>
      <c r="I328" s="3">
        <f>H328-G328</f>
        <v/>
      </c>
      <c r="J328" s="4">
        <f>IF(G328=0,"",(H328-G328)/G328)</f>
        <v/>
      </c>
      <c r="K328" s="4">
        <f>IF(G328=0,"",(H328-G328*0.891738)/(G328*0.891738))</f>
        <v/>
      </c>
      <c r="L328" s="3" t="n">
        <v>-173</v>
      </c>
      <c r="M328" s="3" t="n">
        <v>0</v>
      </c>
      <c r="N328" s="3" t="n">
        <v>-82</v>
      </c>
      <c r="O328" s="3" t="n">
        <v>0</v>
      </c>
      <c r="P328" s="3" t="n">
        <v>0</v>
      </c>
      <c r="Q328" s="3">
        <f>SUM(L328:P328)-I328</f>
        <v/>
      </c>
    </row>
    <row r="329">
      <c r="A329" s="2" t="inlineStr">
        <is>
          <t>josh-sinn</t>
        </is>
      </c>
      <c r="B329" s="2" t="inlineStr">
        <is>
          <t>Josh Sinn</t>
        </is>
      </c>
      <c r="C329" s="2" t="inlineStr">
        <is>
          <t>Port Adelaide</t>
        </is>
      </c>
      <c r="D329" s="2" t="inlineStr">
        <is>
          <t>SD</t>
        </is>
      </c>
      <c r="E329" s="2" t="n">
        <v>23</v>
      </c>
      <c r="F329" s="2" t="inlineStr">
        <is>
          <t>National pick 12</t>
        </is>
      </c>
      <c r="G329" s="3" t="n">
        <v>144</v>
      </c>
      <c r="H329" s="3" t="n">
        <v>139</v>
      </c>
      <c r="I329" s="3">
        <f>H329-G329</f>
        <v/>
      </c>
      <c r="J329" s="4">
        <f>IF(G329=0,"",(H329-G329)/G329)</f>
        <v/>
      </c>
      <c r="K329" s="4">
        <f>IF(G329=0,"",(H329-G329*0.891738)/(G329*0.891738))</f>
        <v/>
      </c>
      <c r="L329" s="3" t="n">
        <v>0</v>
      </c>
      <c r="M329" s="3" t="n">
        <v>0</v>
      </c>
      <c r="N329" s="3" t="n">
        <v>-5</v>
      </c>
      <c r="O329" s="3" t="n">
        <v>0</v>
      </c>
      <c r="P329" s="3" t="n">
        <v>0</v>
      </c>
      <c r="Q329" s="3">
        <f>SUM(L329:P329)-I329</f>
        <v/>
      </c>
    </row>
    <row r="330">
      <c r="A330" s="2" t="inlineStr">
        <is>
          <t>logan-evans</t>
        </is>
      </c>
      <c r="B330" s="2" t="inlineStr">
        <is>
          <t>Logan Evans</t>
        </is>
      </c>
      <c r="C330" s="2" t="inlineStr">
        <is>
          <t>Port Adelaide</t>
        </is>
      </c>
      <c r="D330" s="2" t="inlineStr">
        <is>
          <t>SD</t>
        </is>
      </c>
      <c r="E330" s="2" t="n">
        <v>21</v>
      </c>
      <c r="F330" s="2" t="inlineStr">
        <is>
          <t>Mid-Season pick 12</t>
        </is>
      </c>
      <c r="G330" s="3" t="n">
        <v>1390</v>
      </c>
      <c r="H330" s="3" t="n">
        <v>1179</v>
      </c>
      <c r="I330" s="3">
        <f>H330-G330</f>
        <v/>
      </c>
      <c r="J330" s="4">
        <f>IF(G330=0,"",(H330-G330)/G330)</f>
        <v/>
      </c>
      <c r="K330" s="4">
        <f>IF(G330=0,"",(H330-G330*0.891738)/(G330*0.891738))</f>
        <v/>
      </c>
      <c r="L330" s="3" t="n">
        <v>-68</v>
      </c>
      <c r="M330" s="3" t="n">
        <v>0</v>
      </c>
      <c r="N330" s="3" t="n">
        <v>-143</v>
      </c>
      <c r="O330" s="3" t="n">
        <v>0</v>
      </c>
      <c r="P330" s="3" t="n">
        <v>0</v>
      </c>
      <c r="Q330" s="3">
        <f>SUM(L330:P330)-I330</f>
        <v/>
      </c>
    </row>
    <row r="331">
      <c r="A331" s="2" t="inlineStr">
        <is>
          <t>max-gruzewski</t>
        </is>
      </c>
      <c r="B331" s="2" t="inlineStr">
        <is>
          <t>Max Gruzewski</t>
        </is>
      </c>
      <c r="C331" s="2" t="inlineStr">
        <is>
          <t>GWS</t>
        </is>
      </c>
      <c r="D331" s="2" t="inlineStr">
        <is>
          <t>KPF</t>
        </is>
      </c>
      <c r="E331" s="2" t="n">
        <v>22</v>
      </c>
      <c r="F331" s="2" t="inlineStr">
        <is>
          <t>National pick 22</t>
        </is>
      </c>
      <c r="G331" s="3" t="n">
        <v>571</v>
      </c>
      <c r="H331" s="3" t="n">
        <v>517</v>
      </c>
      <c r="I331" s="3">
        <f>H331-G331</f>
        <v/>
      </c>
      <c r="J331" s="4">
        <f>IF(G331=0,"",(H331-G331)/G331)</f>
        <v/>
      </c>
      <c r="K331" s="4">
        <f>IF(G331=0,"",(H331-G331*0.891738)/(G331*0.891738))</f>
        <v/>
      </c>
      <c r="L331" s="3" t="n">
        <v>8</v>
      </c>
      <c r="M331" s="3" t="n">
        <v>0</v>
      </c>
      <c r="N331" s="3" t="n">
        <v>-62</v>
      </c>
      <c r="O331" s="3" t="n">
        <v>0</v>
      </c>
      <c r="P331" s="3" t="n">
        <v>0</v>
      </c>
      <c r="Q331" s="3">
        <f>SUM(L331:P331)-I331</f>
        <v/>
      </c>
    </row>
    <row r="332">
      <c r="A332" s="2" t="inlineStr">
        <is>
          <t>keidean-coleman</t>
        </is>
      </c>
      <c r="B332" s="2" t="inlineStr">
        <is>
          <t>Keidean Coleman</t>
        </is>
      </c>
      <c r="C332" s="2" t="inlineStr">
        <is>
          <t>Brisbane</t>
        </is>
      </c>
      <c r="D332" s="2" t="inlineStr">
        <is>
          <t>SD</t>
        </is>
      </c>
      <c r="E332" s="2" t="n">
        <v>26</v>
      </c>
      <c r="F332" s="2" t="inlineStr">
        <is>
          <t>National pick 36</t>
        </is>
      </c>
      <c r="G332" s="3" t="n">
        <v>764</v>
      </c>
      <c r="H332" s="3" t="n">
        <v>673</v>
      </c>
      <c r="I332" s="3">
        <f>H332-G332</f>
        <v/>
      </c>
      <c r="J332" s="4">
        <f>IF(G332=0,"",(H332-G332)/G332)</f>
        <v/>
      </c>
      <c r="K332" s="4">
        <f>IF(G332=0,"",(H332-G332*0.891738)/(G332*0.891738))</f>
        <v/>
      </c>
      <c r="L332" s="3" t="n">
        <v>-10</v>
      </c>
      <c r="M332" s="3" t="n">
        <v>0</v>
      </c>
      <c r="N332" s="3" t="n">
        <v>-81</v>
      </c>
      <c r="O332" s="3" t="n">
        <v>0</v>
      </c>
      <c r="P332" s="3" t="n">
        <v>0</v>
      </c>
      <c r="Q332" s="3">
        <f>SUM(L332:P332)-I332</f>
        <v/>
      </c>
    </row>
    <row r="333">
      <c r="A333" s="2" t="inlineStr">
        <is>
          <t>billy-cootee</t>
        </is>
      </c>
      <c r="B333" s="2" t="inlineStr">
        <is>
          <t>Billy Cootee</t>
        </is>
      </c>
      <c r="C333" s="2" t="inlineStr">
        <is>
          <t>Sydney</t>
        </is>
      </c>
      <c r="D333" s="2" t="inlineStr">
        <is>
          <t>MID</t>
        </is>
      </c>
      <c r="E333" s="2" t="n">
        <v>24</v>
      </c>
      <c r="F333" s="2" t="inlineStr">
        <is>
          <t>National pick 42</t>
        </is>
      </c>
      <c r="G333" s="3" t="n">
        <v>264</v>
      </c>
      <c r="H333" s="3" t="n">
        <v>240</v>
      </c>
      <c r="I333" s="3">
        <f>H333-G333</f>
        <v/>
      </c>
      <c r="J333" s="4">
        <f>IF(G333=0,"",(H333-G333)/G333)</f>
        <v/>
      </c>
      <c r="K333" s="4">
        <f>IF(G333=0,"",(H333-G333*0.891738)/(G333*0.891738))</f>
        <v/>
      </c>
      <c r="L333" s="3" t="n">
        <v>0</v>
      </c>
      <c r="M333" s="3" t="n">
        <v>0</v>
      </c>
      <c r="N333" s="3" t="n">
        <v>-24</v>
      </c>
      <c r="O333" s="3" t="n">
        <v>0</v>
      </c>
      <c r="P333" s="3" t="n">
        <v>0</v>
      </c>
      <c r="Q333" s="3">
        <f>SUM(L333:P333)-I333</f>
        <v/>
      </c>
    </row>
    <row r="334">
      <c r="A334" s="2" t="inlineStr">
        <is>
          <t>lance-collard</t>
        </is>
      </c>
      <c r="B334" s="2" t="inlineStr">
        <is>
          <t>Lance Collard</t>
        </is>
      </c>
      <c r="C334" s="2" t="inlineStr">
        <is>
          <t>St Kilda</t>
        </is>
      </c>
      <c r="D334" s="2" t="inlineStr">
        <is>
          <t>SF</t>
        </is>
      </c>
      <c r="E334" s="2" t="n">
        <v>21</v>
      </c>
      <c r="F334" s="2" t="inlineStr">
        <is>
          <t>National pick 28</t>
        </is>
      </c>
      <c r="G334" s="3" t="n">
        <v>171</v>
      </c>
      <c r="H334" s="3" t="n">
        <v>152</v>
      </c>
      <c r="I334" s="3">
        <f>H334-G334</f>
        <v/>
      </c>
      <c r="J334" s="4">
        <f>IF(G334=0,"",(H334-G334)/G334)</f>
        <v/>
      </c>
      <c r="K334" s="4">
        <f>IF(G334=0,"",(H334-G334*0.891738)/(G334*0.891738))</f>
        <v/>
      </c>
      <c r="L334" s="3" t="n">
        <v>-10</v>
      </c>
      <c r="M334" s="3" t="n">
        <v>0</v>
      </c>
      <c r="N334" s="3" t="n">
        <v>-9</v>
      </c>
      <c r="O334" s="3" t="n">
        <v>0</v>
      </c>
      <c r="P334" s="3" t="n">
        <v>0</v>
      </c>
      <c r="Q334" s="3">
        <f>SUM(L334:P334)-I334</f>
        <v/>
      </c>
    </row>
    <row r="335">
      <c r="A335" s="2" t="inlineStr">
        <is>
          <t>koby-coulson</t>
        </is>
      </c>
      <c r="B335" s="2" t="inlineStr">
        <is>
          <t>Koby Coulson</t>
        </is>
      </c>
      <c r="C335" s="2" t="inlineStr">
        <is>
          <t>Gold Coast</t>
        </is>
      </c>
      <c r="D335" s="2" t="inlineStr">
        <is>
          <t>MID</t>
        </is>
      </c>
      <c r="E335" s="2" t="n">
        <v>19</v>
      </c>
      <c r="F335" s="2" t="inlineStr">
        <is>
          <t>National pick 46</t>
        </is>
      </c>
      <c r="G335" s="3" t="n">
        <v>330</v>
      </c>
      <c r="H335" s="3" t="n">
        <v>294</v>
      </c>
      <c r="I335" s="3">
        <f>H335-G335</f>
        <v/>
      </c>
      <c r="J335" s="4">
        <f>IF(G335=0,"",(H335-G335)/G335)</f>
        <v/>
      </c>
      <c r="K335" s="4">
        <f>IF(G335=0,"",(H335-G335*0.891738)/(G335*0.891738))</f>
        <v/>
      </c>
      <c r="L335" s="3" t="n">
        <v>0</v>
      </c>
      <c r="M335" s="3" t="n">
        <v>0</v>
      </c>
      <c r="N335" s="3" t="n">
        <v>-36</v>
      </c>
      <c r="O335" s="3" t="n">
        <v>0</v>
      </c>
      <c r="P335" s="3" t="n">
        <v>0</v>
      </c>
      <c r="Q335" s="3">
        <f>SUM(L335:P335)-I335</f>
        <v/>
      </c>
    </row>
    <row r="336">
      <c r="A336" s="2" t="inlineStr">
        <is>
          <t>neil-erasmus</t>
        </is>
      </c>
      <c r="B336" s="2" t="inlineStr">
        <is>
          <t>Neil Erasmus</t>
        </is>
      </c>
      <c r="C336" s="2" t="inlineStr">
        <is>
          <t>Fremantle</t>
        </is>
      </c>
      <c r="D336" s="2" t="inlineStr">
        <is>
          <t>MID</t>
        </is>
      </c>
      <c r="E336" s="2" t="n">
        <v>23</v>
      </c>
      <c r="F336" s="2" t="inlineStr">
        <is>
          <t>National pick 10</t>
        </is>
      </c>
      <c r="G336" s="3" t="n">
        <v>1082</v>
      </c>
      <c r="H336" s="3" t="n">
        <v>951</v>
      </c>
      <c r="I336" s="3">
        <f>H336-G336</f>
        <v/>
      </c>
      <c r="J336" s="4">
        <f>IF(G336=0,"",(H336-G336)/G336)</f>
        <v/>
      </c>
      <c r="K336" s="4">
        <f>IF(G336=0,"",(H336-G336*0.891738)/(G336*0.891738))</f>
        <v/>
      </c>
      <c r="L336" s="3" t="n">
        <v>-16</v>
      </c>
      <c r="M336" s="3" t="n">
        <v>0</v>
      </c>
      <c r="N336" s="3" t="n">
        <v>-115</v>
      </c>
      <c r="O336" s="3" t="n">
        <v>0</v>
      </c>
      <c r="P336" s="3" t="n">
        <v>0</v>
      </c>
      <c r="Q336" s="3">
        <f>SUM(L336:P336)-I336</f>
        <v/>
      </c>
    </row>
    <row r="337">
      <c r="A337" s="2" t="inlineStr">
        <is>
          <t>matt-johnson-1</t>
        </is>
      </c>
      <c r="B337" s="2" t="inlineStr">
        <is>
          <t>Matt Johnson</t>
        </is>
      </c>
      <c r="C337" s="2" t="inlineStr">
        <is>
          <t>Fremantle</t>
        </is>
      </c>
      <c r="D337" s="2" t="inlineStr">
        <is>
          <t>MID</t>
        </is>
      </c>
      <c r="E337" s="2" t="n">
        <v>23</v>
      </c>
      <c r="F337" s="2" t="inlineStr">
        <is>
          <t>National pick 21</t>
        </is>
      </c>
      <c r="G337" s="3" t="n">
        <v>969</v>
      </c>
      <c r="H337" s="3" t="n">
        <v>812</v>
      </c>
      <c r="I337" s="3">
        <f>H337-G337</f>
        <v/>
      </c>
      <c r="J337" s="4">
        <f>IF(G337=0,"",(H337-G337)/G337)</f>
        <v/>
      </c>
      <c r="K337" s="4">
        <f>IF(G337=0,"",(H337-G337*0.891738)/(G337*0.891738))</f>
        <v/>
      </c>
      <c r="L337" s="3" t="n">
        <v>-58</v>
      </c>
      <c r="M337" s="3" t="n">
        <v>0</v>
      </c>
      <c r="N337" s="3" t="n">
        <v>-99</v>
      </c>
      <c r="O337" s="3" t="n">
        <v>0</v>
      </c>
      <c r="P337" s="3" t="n">
        <v>0</v>
      </c>
      <c r="Q337" s="3">
        <f>SUM(L337:P337)-I337</f>
        <v/>
      </c>
    </row>
    <row r="338">
      <c r="A338" s="2" t="inlineStr">
        <is>
          <t>darcy-parish</t>
        </is>
      </c>
      <c r="B338" s="2" t="inlineStr">
        <is>
          <t>Darcy Parish</t>
        </is>
      </c>
      <c r="C338" s="2" t="inlineStr">
        <is>
          <t>Essendon</t>
        </is>
      </c>
      <c r="D338" s="2" t="inlineStr">
        <is>
          <t>MID</t>
        </is>
      </c>
      <c r="E338" s="2" t="n">
        <v>29</v>
      </c>
      <c r="F338" s="2" t="inlineStr">
        <is>
          <t>National pick 5</t>
        </is>
      </c>
      <c r="G338" s="3" t="n">
        <v>569</v>
      </c>
      <c r="H338" s="3" t="n">
        <v>500</v>
      </c>
      <c r="I338" s="3">
        <f>H338-G338</f>
        <v/>
      </c>
      <c r="J338" s="4">
        <f>IF(G338=0,"",(H338-G338)/G338)</f>
        <v/>
      </c>
      <c r="K338" s="4">
        <f>IF(G338=0,"",(H338-G338*0.891738)/(G338*0.891738))</f>
        <v/>
      </c>
      <c r="L338" s="3" t="n">
        <v>-8</v>
      </c>
      <c r="M338" s="3" t="n">
        <v>0</v>
      </c>
      <c r="N338" s="3" t="n">
        <v>-61</v>
      </c>
      <c r="O338" s="3" t="n">
        <v>0</v>
      </c>
      <c r="P338" s="3" t="n">
        <v>0</v>
      </c>
      <c r="Q338" s="3">
        <f>SUM(L338:P338)-I338</f>
        <v/>
      </c>
    </row>
    <row r="339">
      <c r="A339" s="2" t="inlineStr">
        <is>
          <t>lachlan-schultz</t>
        </is>
      </c>
      <c r="B339" s="2" t="inlineStr">
        <is>
          <t>Lachlan Schultz</t>
        </is>
      </c>
      <c r="C339" s="2" t="inlineStr">
        <is>
          <t>Fremantle</t>
        </is>
      </c>
      <c r="D339" s="2" t="inlineStr">
        <is>
          <t>SF</t>
        </is>
      </c>
      <c r="E339" s="2" t="n">
        <v>29</v>
      </c>
      <c r="F339" s="2" t="inlineStr">
        <is>
          <t>National pick 57</t>
        </is>
      </c>
      <c r="G339" s="3" t="n">
        <v>649</v>
      </c>
      <c r="H339" s="3" t="n">
        <v>570</v>
      </c>
      <c r="I339" s="3">
        <f>H339-G339</f>
        <v/>
      </c>
      <c r="J339" s="4">
        <f>IF(G339=0,"",(H339-G339)/G339)</f>
        <v/>
      </c>
      <c r="K339" s="4">
        <f>IF(G339=0,"",(H339-G339*0.891738)/(G339*0.891738))</f>
        <v/>
      </c>
      <c r="L339" s="3" t="n">
        <v>-10</v>
      </c>
      <c r="M339" s="3" t="n">
        <v>0</v>
      </c>
      <c r="N339" s="3" t="n">
        <v>-69</v>
      </c>
      <c r="O339" s="3" t="n">
        <v>0</v>
      </c>
      <c r="P339" s="3" t="n">
        <v>0</v>
      </c>
      <c r="Q339" s="3">
        <f>SUM(L339:P339)-I339</f>
        <v/>
      </c>
    </row>
    <row r="340">
      <c r="A340" s="2" t="inlineStr">
        <is>
          <t>jack-graham</t>
        </is>
      </c>
      <c r="B340" s="2" t="inlineStr">
        <is>
          <t>Jack Graham</t>
        </is>
      </c>
      <c r="C340" s="2" t="inlineStr">
        <is>
          <t>West Coast</t>
        </is>
      </c>
      <c r="D340" s="2" t="inlineStr">
        <is>
          <t>MID</t>
        </is>
      </c>
      <c r="E340" s="2" t="n">
        <v>28</v>
      </c>
      <c r="F340" s="2" t="inlineStr">
        <is>
          <t>National pick 53</t>
        </is>
      </c>
      <c r="G340" s="3" t="n">
        <v>662</v>
      </c>
      <c r="H340" s="3" t="n">
        <v>583</v>
      </c>
      <c r="I340" s="3">
        <f>H340-G340</f>
        <v/>
      </c>
      <c r="J340" s="4">
        <f>IF(G340=0,"",(H340-G340)/G340)</f>
        <v/>
      </c>
      <c r="K340" s="4">
        <f>IF(G340=0,"",(H340-G340*0.891738)/(G340*0.891738))</f>
        <v/>
      </c>
      <c r="L340" s="3" t="n">
        <v>-8</v>
      </c>
      <c r="M340" s="3" t="n">
        <v>0</v>
      </c>
      <c r="N340" s="3" t="n">
        <v>-71</v>
      </c>
      <c r="O340" s="3" t="n">
        <v>0</v>
      </c>
      <c r="P340" s="3" t="n">
        <v>0</v>
      </c>
      <c r="Q340" s="3">
        <f>SUM(L340:P340)-I340</f>
        <v/>
      </c>
    </row>
    <row r="341">
      <c r="A341" s="2" t="inlineStr">
        <is>
          <t>jed-adams</t>
        </is>
      </c>
      <c r="B341" s="2" t="inlineStr">
        <is>
          <t>Jed Adams</t>
        </is>
      </c>
      <c r="C341" s="2" t="inlineStr">
        <is>
          <t>Melbourne</t>
        </is>
      </c>
      <c r="D341" s="2" t="inlineStr">
        <is>
          <t>KPD</t>
        </is>
      </c>
      <c r="E341" s="2" t="n">
        <v>22</v>
      </c>
      <c r="F341" s="2" t="inlineStr">
        <is>
          <t>National pick 38</t>
        </is>
      </c>
      <c r="G341" s="3" t="n">
        <v>155</v>
      </c>
      <c r="H341" s="3" t="n">
        <v>145</v>
      </c>
      <c r="I341" s="3">
        <f>H341-G341</f>
        <v/>
      </c>
      <c r="J341" s="4">
        <f>IF(G341=0,"",(H341-G341)/G341)</f>
        <v/>
      </c>
      <c r="K341" s="4">
        <f>IF(G341=0,"",(H341-G341*0.891738)/(G341*0.891738))</f>
        <v/>
      </c>
      <c r="L341" s="3" t="n">
        <v>0</v>
      </c>
      <c r="M341" s="3" t="n">
        <v>0</v>
      </c>
      <c r="N341" s="3" t="n">
        <v>-10</v>
      </c>
      <c r="O341" s="3" t="n">
        <v>0</v>
      </c>
      <c r="P341" s="3" t="n">
        <v>0</v>
      </c>
      <c r="Q341" s="3">
        <f>SUM(L341:P341)-I341</f>
        <v/>
      </c>
    </row>
    <row r="342">
      <c r="A342" s="2" t="inlineStr">
        <is>
          <t>jack-ough</t>
        </is>
      </c>
      <c r="B342" s="2" t="inlineStr">
        <is>
          <t>Jack Ough</t>
        </is>
      </c>
      <c r="C342" s="2" t="inlineStr">
        <is>
          <t>GWS</t>
        </is>
      </c>
      <c r="D342" s="2" t="inlineStr">
        <is>
          <t>MID</t>
        </is>
      </c>
      <c r="E342" s="2" t="n">
        <v>20</v>
      </c>
      <c r="F342" s="2" t="inlineStr">
        <is>
          <t>National pick 36</t>
        </is>
      </c>
      <c r="G342" s="3" t="n">
        <v>678</v>
      </c>
      <c r="H342" s="3" t="n">
        <v>497</v>
      </c>
      <c r="I342" s="3">
        <f>H342-G342</f>
        <v/>
      </c>
      <c r="J342" s="4">
        <f>IF(G342=0,"",(H342-G342)/G342)</f>
        <v/>
      </c>
      <c r="K342" s="4">
        <f>IF(G342=0,"",(H342-G342*0.891738)/(G342*0.891738))</f>
        <v/>
      </c>
      <c r="L342" s="3" t="n">
        <v>-115</v>
      </c>
      <c r="M342" s="3" t="n">
        <v>0</v>
      </c>
      <c r="N342" s="3" t="n">
        <v>-59</v>
      </c>
      <c r="O342" s="3" t="n">
        <v>-6</v>
      </c>
      <c r="P342" s="3" t="n">
        <v>-1</v>
      </c>
      <c r="Q342" s="3">
        <f>SUM(L342:P342)-I342</f>
        <v/>
      </c>
    </row>
    <row r="343">
      <c r="A343" s="2" t="inlineStr">
        <is>
          <t>kane-mcauliffe</t>
        </is>
      </c>
      <c r="B343" s="2" t="inlineStr">
        <is>
          <t>Kane McAuliffe</t>
        </is>
      </c>
      <c r="C343" s="2" t="inlineStr">
        <is>
          <t>Richmond</t>
        </is>
      </c>
      <c r="D343" s="2" t="inlineStr">
        <is>
          <t>MID</t>
        </is>
      </c>
      <c r="E343" s="2" t="n">
        <v>21</v>
      </c>
      <c r="F343" s="2" t="inlineStr">
        <is>
          <t>National pick 40</t>
        </is>
      </c>
      <c r="G343" s="3" t="n">
        <v>1328</v>
      </c>
      <c r="H343" s="3" t="n">
        <v>1124</v>
      </c>
      <c r="I343" s="3">
        <f>H343-G343</f>
        <v/>
      </c>
      <c r="J343" s="4">
        <f>IF(G343=0,"",(H343-G343)/G343)</f>
        <v/>
      </c>
      <c r="K343" s="4">
        <f>IF(G343=0,"",(H343-G343*0.891738)/(G343*0.891738))</f>
        <v/>
      </c>
      <c r="L343" s="3" t="n">
        <v>-68</v>
      </c>
      <c r="M343" s="3" t="n">
        <v>0</v>
      </c>
      <c r="N343" s="3" t="n">
        <v>-136</v>
      </c>
      <c r="O343" s="3" t="n">
        <v>0</v>
      </c>
      <c r="P343" s="3" t="n">
        <v>0</v>
      </c>
      <c r="Q343" s="3">
        <f>SUM(L343:P343)-I343</f>
        <v/>
      </c>
    </row>
    <row r="344">
      <c r="A344" s="2" t="inlineStr">
        <is>
          <t>ashton-moir</t>
        </is>
      </c>
      <c r="B344" s="2" t="inlineStr">
        <is>
          <t>Ashton Moir</t>
        </is>
      </c>
      <c r="C344" s="2" t="inlineStr">
        <is>
          <t>Carlton</t>
        </is>
      </c>
      <c r="D344" s="2" t="inlineStr">
        <is>
          <t>SF</t>
        </is>
      </c>
      <c r="E344" s="2" t="n">
        <v>21</v>
      </c>
      <c r="F344" s="2" t="inlineStr">
        <is>
          <t>National pick 29</t>
        </is>
      </c>
      <c r="G344" s="3" t="n">
        <v>258</v>
      </c>
      <c r="H344" s="3" t="n">
        <v>201</v>
      </c>
      <c r="I344" s="3">
        <f>H344-G344</f>
        <v/>
      </c>
      <c r="J344" s="4">
        <f>IF(G344=0,"",(H344-G344)/G344)</f>
        <v/>
      </c>
      <c r="K344" s="4">
        <f>IF(G344=0,"",(H344-G344*0.891738)/(G344*0.891738))</f>
        <v/>
      </c>
      <c r="L344" s="3" t="n">
        <v>-38</v>
      </c>
      <c r="M344" s="3" t="n">
        <v>0</v>
      </c>
      <c r="N344" s="3" t="n">
        <v>-19</v>
      </c>
      <c r="O344" s="3" t="n">
        <v>0</v>
      </c>
      <c r="P344" s="3" t="n">
        <v>0</v>
      </c>
      <c r="Q344" s="3">
        <f>SUM(L344:P344)-I344</f>
        <v/>
      </c>
    </row>
    <row r="345">
      <c r="A345" s="2" t="inlineStr">
        <is>
          <t>ben-camporeale</t>
        </is>
      </c>
      <c r="B345" s="2" t="inlineStr">
        <is>
          <t>Ben Camporeale</t>
        </is>
      </c>
      <c r="C345" s="2" t="inlineStr">
        <is>
          <t>Carlton</t>
        </is>
      </c>
      <c r="D345" s="2" t="inlineStr">
        <is>
          <t>MID</t>
        </is>
      </c>
      <c r="E345" s="2" t="n">
        <v>20</v>
      </c>
      <c r="F345" s="2" t="inlineStr">
        <is>
          <t>National pick 43</t>
        </is>
      </c>
      <c r="G345" s="3" t="n">
        <v>255</v>
      </c>
      <c r="H345" s="3" t="n">
        <v>231</v>
      </c>
      <c r="I345" s="3">
        <f>H345-G345</f>
        <v/>
      </c>
      <c r="J345" s="4">
        <f>IF(G345=0,"",(H345-G345)/G345)</f>
        <v/>
      </c>
      <c r="K345" s="4">
        <f>IF(G345=0,"",(H345-G345*0.891738)/(G345*0.891738))</f>
        <v/>
      </c>
      <c r="L345" s="3" t="n">
        <v>0</v>
      </c>
      <c r="M345" s="3" t="n">
        <v>0</v>
      </c>
      <c r="N345" s="3" t="n">
        <v>-24</v>
      </c>
      <c r="O345" s="3" t="n">
        <v>0</v>
      </c>
      <c r="P345" s="3" t="n">
        <v>0</v>
      </c>
      <c r="Q345" s="3">
        <f>SUM(L345:P345)-I345</f>
        <v/>
      </c>
    </row>
    <row r="346">
      <c r="A346" s="2" t="inlineStr">
        <is>
          <t>lachlan-smith</t>
        </is>
      </c>
      <c r="B346" s="2" t="inlineStr">
        <is>
          <t>Lachlan Smith</t>
        </is>
      </c>
      <c r="C346" s="2" t="inlineStr">
        <is>
          <t>Western Bulldogs</t>
        </is>
      </c>
      <c r="D346" s="2" t="inlineStr">
        <is>
          <t>RUCK</t>
        </is>
      </c>
      <c r="E346" s="2" t="n">
        <v>21</v>
      </c>
      <c r="F346" s="2" t="inlineStr">
        <is>
          <t>National pick 47</t>
        </is>
      </c>
      <c r="G346" s="3" t="n">
        <v>627</v>
      </c>
      <c r="H346" s="3" t="n">
        <v>328</v>
      </c>
      <c r="I346" s="3">
        <f>H346-G346</f>
        <v/>
      </c>
      <c r="J346" s="4">
        <f>IF(G346=0,"",(H346-G346)/G346)</f>
        <v/>
      </c>
      <c r="K346" s="4">
        <f>IF(G346=0,"",(H346-G346*0.891738)/(G346*0.891738))</f>
        <v/>
      </c>
      <c r="L346" s="3" t="n">
        <v>-44</v>
      </c>
      <c r="M346" s="3" t="n">
        <v>0</v>
      </c>
      <c r="N346" s="3" t="n">
        <v>-63</v>
      </c>
      <c r="O346" s="3" t="n">
        <v>-61</v>
      </c>
      <c r="P346" s="3" t="n">
        <v>-131</v>
      </c>
      <c r="Q346" s="3">
        <f>SUM(L346:P346)-I346</f>
        <v/>
      </c>
    </row>
    <row r="347">
      <c r="A347" s="2" t="inlineStr">
        <is>
          <t>will-setterfield</t>
        </is>
      </c>
      <c r="B347" s="2" t="inlineStr">
        <is>
          <t>Will Setterfield</t>
        </is>
      </c>
      <c r="C347" s="2" t="inlineStr">
        <is>
          <t>Essendon</t>
        </is>
      </c>
      <c r="D347" s="2" t="inlineStr">
        <is>
          <t>MID</t>
        </is>
      </c>
      <c r="E347" s="2" t="n">
        <v>28</v>
      </c>
      <c r="F347" s="2" t="inlineStr">
        <is>
          <t>National pick 5</t>
        </is>
      </c>
      <c r="G347" s="3" t="n">
        <v>633</v>
      </c>
      <c r="H347" s="3" t="n">
        <v>557</v>
      </c>
      <c r="I347" s="3">
        <f>H347-G347</f>
        <v/>
      </c>
      <c r="J347" s="4">
        <f>IF(G347=0,"",(H347-G347)/G347)</f>
        <v/>
      </c>
      <c r="K347" s="4">
        <f>IF(G347=0,"",(H347-G347*0.891738)/(G347*0.891738))</f>
        <v/>
      </c>
      <c r="L347" s="3" t="n">
        <v>-8</v>
      </c>
      <c r="M347" s="3" t="n">
        <v>0</v>
      </c>
      <c r="N347" s="3" t="n">
        <v>-68</v>
      </c>
      <c r="O347" s="3" t="n">
        <v>0</v>
      </c>
      <c r="P347" s="3" t="n">
        <v>0</v>
      </c>
      <c r="Q347" s="3">
        <f>SUM(L347:P347)-I347</f>
        <v/>
      </c>
    </row>
    <row r="348">
      <c r="A348" s="2" t="inlineStr">
        <is>
          <t>joel-cochran</t>
        </is>
      </c>
      <c r="B348" s="2" t="inlineStr">
        <is>
          <t>Joel Cochran</t>
        </is>
      </c>
      <c r="C348" s="2" t="inlineStr">
        <is>
          <t>Collingwood</t>
        </is>
      </c>
      <c r="D348" s="2" t="inlineStr">
        <is>
          <t>KPD</t>
        </is>
      </c>
      <c r="E348" s="2" t="n">
        <v>20</v>
      </c>
      <c r="F348" s="2" t="inlineStr">
        <is>
          <t>National pick 47</t>
        </is>
      </c>
      <c r="G348" s="3" t="n">
        <v>166</v>
      </c>
      <c r="H348" s="3" t="n">
        <v>148</v>
      </c>
      <c r="I348" s="3">
        <f>H348-G348</f>
        <v/>
      </c>
      <c r="J348" s="4">
        <f>IF(G348=0,"",(H348-G348)/G348)</f>
        <v/>
      </c>
      <c r="K348" s="4">
        <f>IF(G348=0,"",(H348-G348*0.891738)/(G348*0.891738))</f>
        <v/>
      </c>
      <c r="L348" s="3" t="n">
        <v>0</v>
      </c>
      <c r="M348" s="3" t="n">
        <v>0</v>
      </c>
      <c r="N348" s="3" t="n">
        <v>-18</v>
      </c>
      <c r="O348" s="3" t="n">
        <v>0</v>
      </c>
      <c r="P348" s="3" t="n">
        <v>0</v>
      </c>
      <c r="Q348" s="3">
        <f>SUM(L348:P348)-I348</f>
        <v/>
      </c>
    </row>
    <row r="349">
      <c r="A349" s="2" t="inlineStr">
        <is>
          <t>jack-viney</t>
        </is>
      </c>
      <c r="B349" s="2" t="inlineStr">
        <is>
          <t>Jack Viney</t>
        </is>
      </c>
      <c r="C349" s="2" t="inlineStr">
        <is>
          <t>Melbourne</t>
        </is>
      </c>
      <c r="D349" s="2" t="inlineStr">
        <is>
          <t>MID</t>
        </is>
      </c>
      <c r="E349" s="2" t="n">
        <v>32</v>
      </c>
      <c r="F349" s="2" t="inlineStr">
        <is>
          <t>National pick 13</t>
        </is>
      </c>
      <c r="G349" s="3" t="n">
        <v>242</v>
      </c>
      <c r="H349" s="3" t="n">
        <v>213</v>
      </c>
      <c r="I349" s="3">
        <f>H349-G349</f>
        <v/>
      </c>
      <c r="J349" s="4">
        <f>IF(G349=0,"",(H349-G349)/G349)</f>
        <v/>
      </c>
      <c r="K349" s="4">
        <f>IF(G349=0,"",(H349-G349*0.891738)/(G349*0.891738))</f>
        <v/>
      </c>
      <c r="L349" s="3" t="n">
        <v>-3</v>
      </c>
      <c r="M349" s="3" t="n">
        <v>0</v>
      </c>
      <c r="N349" s="3" t="n">
        <v>-26</v>
      </c>
      <c r="O349" s="3" t="n">
        <v>0</v>
      </c>
      <c r="P349" s="3" t="n">
        <v>0</v>
      </c>
      <c r="Q349" s="3">
        <f>SUM(L349:P349)-I349</f>
        <v/>
      </c>
    </row>
    <row r="350">
      <c r="A350" s="2" t="inlineStr">
        <is>
          <t>brayden-maynard</t>
        </is>
      </c>
      <c r="B350" s="2" t="inlineStr">
        <is>
          <t>Brayden Maynard</t>
        </is>
      </c>
      <c r="C350" s="2" t="inlineStr">
        <is>
          <t>Collingwood</t>
        </is>
      </c>
      <c r="D350" s="2" t="inlineStr">
        <is>
          <t>SD</t>
        </is>
      </c>
      <c r="E350" s="2" t="n">
        <v>30</v>
      </c>
      <c r="F350" s="2" t="inlineStr">
        <is>
          <t>National pick 30</t>
        </is>
      </c>
      <c r="G350" s="3" t="n">
        <v>498</v>
      </c>
      <c r="H350" s="3" t="n">
        <v>438</v>
      </c>
      <c r="I350" s="3">
        <f>H350-G350</f>
        <v/>
      </c>
      <c r="J350" s="4">
        <f>IF(G350=0,"",(H350-G350)/G350)</f>
        <v/>
      </c>
      <c r="K350" s="4">
        <f>IF(G350=0,"",(H350-G350*0.891738)/(G350*0.891738))</f>
        <v/>
      </c>
      <c r="L350" s="3" t="n">
        <v>-7</v>
      </c>
      <c r="M350" s="3" t="n">
        <v>0</v>
      </c>
      <c r="N350" s="3" t="n">
        <v>-53</v>
      </c>
      <c r="O350" s="3" t="n">
        <v>0</v>
      </c>
      <c r="P350" s="3" t="n">
        <v>0</v>
      </c>
      <c r="Q350" s="3">
        <f>SUM(L350:P350)-I350</f>
        <v/>
      </c>
    </row>
    <row r="351">
      <c r="A351" s="2" t="inlineStr">
        <is>
          <t>oliver-florent</t>
        </is>
      </c>
      <c r="B351" s="2" t="inlineStr">
        <is>
          <t>Oliver Florent</t>
        </is>
      </c>
      <c r="C351" s="2" t="inlineStr">
        <is>
          <t>Carlton</t>
        </is>
      </c>
      <c r="D351" s="2" t="inlineStr">
        <is>
          <t>SD</t>
        </is>
      </c>
      <c r="E351" s="2" t="n">
        <v>28</v>
      </c>
      <c r="F351" s="2" t="inlineStr">
        <is>
          <t>National pick 11</t>
        </is>
      </c>
      <c r="G351" s="3" t="n">
        <v>633</v>
      </c>
      <c r="H351" s="3" t="n">
        <v>558</v>
      </c>
      <c r="I351" s="3">
        <f>H351-G351</f>
        <v/>
      </c>
      <c r="J351" s="4">
        <f>IF(G351=0,"",(H351-G351)/G351)</f>
        <v/>
      </c>
      <c r="K351" s="4">
        <f>IF(G351=0,"",(H351-G351*0.891738)/(G351*0.891738))</f>
        <v/>
      </c>
      <c r="L351" s="3" t="n">
        <v>-8</v>
      </c>
      <c r="M351" s="3" t="n">
        <v>0</v>
      </c>
      <c r="N351" s="3" t="n">
        <v>-67</v>
      </c>
      <c r="O351" s="3" t="n">
        <v>0</v>
      </c>
      <c r="P351" s="3" t="n">
        <v>0</v>
      </c>
      <c r="Q351" s="3">
        <f>SUM(L351:P351)-I351</f>
        <v/>
      </c>
    </row>
    <row r="352">
      <c r="A352" s="2" t="inlineStr">
        <is>
          <t>jack-buckley</t>
        </is>
      </c>
      <c r="B352" s="2" t="inlineStr">
        <is>
          <t>Jack Buckley</t>
        </is>
      </c>
      <c r="C352" s="2" t="inlineStr">
        <is>
          <t>GWS</t>
        </is>
      </c>
      <c r="D352" s="2" t="inlineStr">
        <is>
          <t>KPD</t>
        </is>
      </c>
      <c r="E352" s="2" t="n">
        <v>29</v>
      </c>
      <c r="F352" s="2" t="inlineStr">
        <is>
          <t>Post-Draft - Next Gen (pool)</t>
        </is>
      </c>
      <c r="G352" s="3" t="n">
        <v>563</v>
      </c>
      <c r="H352" s="3" t="n">
        <v>492</v>
      </c>
      <c r="I352" s="3">
        <f>H352-G352</f>
        <v/>
      </c>
      <c r="J352" s="4">
        <f>IF(G352=0,"",(H352-G352)/G352)</f>
        <v/>
      </c>
      <c r="K352" s="4">
        <f>IF(G352=0,"",(H352-G352*0.891738)/(G352*0.891738))</f>
        <v/>
      </c>
      <c r="L352" s="3" t="n">
        <v>-11</v>
      </c>
      <c r="M352" s="3" t="n">
        <v>0</v>
      </c>
      <c r="N352" s="3" t="n">
        <v>-60</v>
      </c>
      <c r="O352" s="3" t="n">
        <v>0</v>
      </c>
      <c r="P352" s="3" t="n">
        <v>0</v>
      </c>
      <c r="Q352" s="3">
        <f>SUM(L352:P352)-I352</f>
        <v/>
      </c>
    </row>
    <row r="353">
      <c r="A353" s="2" t="inlineStr">
        <is>
          <t>angus-sheldrick</t>
        </is>
      </c>
      <c r="B353" s="2" t="inlineStr">
        <is>
          <t>Angus Sheldrick</t>
        </is>
      </c>
      <c r="C353" s="2" t="inlineStr">
        <is>
          <t>Sydney</t>
        </is>
      </c>
      <c r="D353" s="2" t="inlineStr">
        <is>
          <t>MID</t>
        </is>
      </c>
      <c r="E353" s="2" t="n">
        <v>23</v>
      </c>
      <c r="F353" s="2" t="inlineStr">
        <is>
          <t>National pick 18</t>
        </is>
      </c>
      <c r="G353" s="3" t="n">
        <v>756</v>
      </c>
      <c r="H353" s="3" t="n">
        <v>680</v>
      </c>
      <c r="I353" s="3">
        <f>H353-G353</f>
        <v/>
      </c>
      <c r="J353" s="4">
        <f>IF(G353=0,"",(H353-G353)/G353)</f>
        <v/>
      </c>
      <c r="K353" s="4">
        <f>IF(G353=0,"",(H353-G353*0.891738)/(G353*0.891738))</f>
        <v/>
      </c>
      <c r="L353" s="3" t="n">
        <v>7</v>
      </c>
      <c r="M353" s="3" t="n">
        <v>0</v>
      </c>
      <c r="N353" s="3" t="n">
        <v>-83</v>
      </c>
      <c r="O353" s="3" t="n">
        <v>0</v>
      </c>
      <c r="P353" s="3" t="n">
        <v>0</v>
      </c>
      <c r="Q353" s="3">
        <f>SUM(L353:P353)-I353</f>
        <v/>
      </c>
    </row>
    <row r="354">
      <c r="A354" s="2" t="inlineStr">
        <is>
          <t>daniel-rioli</t>
        </is>
      </c>
      <c r="B354" s="2" t="inlineStr">
        <is>
          <t>Daniel Rioli</t>
        </is>
      </c>
      <c r="C354" s="2" t="inlineStr">
        <is>
          <t>Gold Coast</t>
        </is>
      </c>
      <c r="D354" s="2" t="inlineStr">
        <is>
          <t>SD</t>
        </is>
      </c>
      <c r="E354" s="2" t="n">
        <v>29</v>
      </c>
      <c r="F354" s="2" t="inlineStr">
        <is>
          <t>National pick 15</t>
        </is>
      </c>
      <c r="G354" s="3" t="n">
        <v>620</v>
      </c>
      <c r="H354" s="3" t="n">
        <v>545</v>
      </c>
      <c r="I354" s="3">
        <f>H354-G354</f>
        <v/>
      </c>
      <c r="J354" s="4">
        <f>IF(G354=0,"",(H354-G354)/G354)</f>
        <v/>
      </c>
      <c r="K354" s="4">
        <f>IF(G354=0,"",(H354-G354*0.891738)/(G354*0.891738))</f>
        <v/>
      </c>
      <c r="L354" s="3" t="n">
        <v>-9</v>
      </c>
      <c r="M354" s="3" t="n">
        <v>0</v>
      </c>
      <c r="N354" s="3" t="n">
        <v>-66</v>
      </c>
      <c r="O354" s="3" t="n">
        <v>0</v>
      </c>
      <c r="P354" s="3" t="n">
        <v>0</v>
      </c>
      <c r="Q354" s="3">
        <f>SUM(L354:P354)-I354</f>
        <v/>
      </c>
    </row>
    <row r="355">
      <c r="A355" s="2" t="inlineStr">
        <is>
          <t>hugo-mikunda</t>
        </is>
      </c>
      <c r="B355" s="2" t="inlineStr">
        <is>
          <t>Hugo Mikunda</t>
        </is>
      </c>
      <c r="C355" s="2" t="inlineStr">
        <is>
          <t>North Melbourne</t>
        </is>
      </c>
      <c r="D355" s="2" t="inlineStr">
        <is>
          <t>SF</t>
        </is>
      </c>
      <c r="E355" s="2" t="n">
        <v>19</v>
      </c>
      <c r="F355" s="2" t="inlineStr">
        <is>
          <t>National pick 48</t>
        </is>
      </c>
      <c r="G355" s="3" t="n">
        <v>184</v>
      </c>
      <c r="H355" s="3" t="n">
        <v>163</v>
      </c>
      <c r="I355" s="3">
        <f>H355-G355</f>
        <v/>
      </c>
      <c r="J355" s="4">
        <f>IF(G355=0,"",(H355-G355)/G355)</f>
        <v/>
      </c>
      <c r="K355" s="4">
        <f>IF(G355=0,"",(H355-G355*0.891738)/(G355*0.891738))</f>
        <v/>
      </c>
      <c r="L355" s="3" t="n">
        <v>0</v>
      </c>
      <c r="M355" s="3" t="n">
        <v>0</v>
      </c>
      <c r="N355" s="3" t="n">
        <v>-21</v>
      </c>
      <c r="O355" s="3" t="n">
        <v>0</v>
      </c>
      <c r="P355" s="3" t="n">
        <v>0</v>
      </c>
      <c r="Q355" s="3">
        <f>SUM(L355:P355)-I355</f>
        <v/>
      </c>
    </row>
    <row r="356">
      <c r="A356" s="2" t="inlineStr">
        <is>
          <t>will-brodie</t>
        </is>
      </c>
      <c r="B356" s="2" t="inlineStr">
        <is>
          <t>Will Brodie</t>
        </is>
      </c>
      <c r="C356" s="2" t="inlineStr">
        <is>
          <t>Port Adelaide</t>
        </is>
      </c>
      <c r="D356" s="2" t="inlineStr">
        <is>
          <t>MID</t>
        </is>
      </c>
      <c r="E356" s="2" t="n">
        <v>28</v>
      </c>
      <c r="F356" s="2" t="inlineStr">
        <is>
          <t>National pick 9</t>
        </is>
      </c>
      <c r="G356" s="3" t="n">
        <v>836</v>
      </c>
      <c r="H356" s="3" t="n">
        <v>742</v>
      </c>
      <c r="I356" s="3">
        <f>H356-G356</f>
        <v/>
      </c>
      <c r="J356" s="4">
        <f>IF(G356=0,"",(H356-G356)/G356)</f>
        <v/>
      </c>
      <c r="K356" s="4">
        <f>IF(G356=0,"",(H356-G356*0.891738)/(G356*0.891738))</f>
        <v/>
      </c>
      <c r="L356" s="3" t="n">
        <v>-3</v>
      </c>
      <c r="M356" s="3" t="n">
        <v>0</v>
      </c>
      <c r="N356" s="3" t="n">
        <v>-91</v>
      </c>
      <c r="O356" s="3" t="n">
        <v>0</v>
      </c>
      <c r="P356" s="3" t="n">
        <v>0</v>
      </c>
      <c r="Q356" s="3">
        <f>SUM(L356:P356)-I356</f>
        <v/>
      </c>
    </row>
    <row r="357">
      <c r="A357" s="2" t="inlineStr">
        <is>
          <t>tyler-sonsie</t>
        </is>
      </c>
      <c r="B357" s="2" t="inlineStr">
        <is>
          <t>Tyler Sonsie</t>
        </is>
      </c>
      <c r="C357" s="2" t="inlineStr">
        <is>
          <t>Richmond</t>
        </is>
      </c>
      <c r="D357" s="2" t="inlineStr">
        <is>
          <t>MID</t>
        </is>
      </c>
      <c r="E357" s="2" t="n">
        <v>23</v>
      </c>
      <c r="F357" s="2" t="inlineStr">
        <is>
          <t>National pick 28</t>
        </is>
      </c>
      <c r="G357" s="3" t="n">
        <v>1262</v>
      </c>
      <c r="H357" s="3" t="n">
        <v>1097</v>
      </c>
      <c r="I357" s="3">
        <f>H357-G357</f>
        <v/>
      </c>
      <c r="J357" s="4">
        <f>IF(G357=0,"",(H357-G357)/G357)</f>
        <v/>
      </c>
      <c r="K357" s="4">
        <f>IF(G357=0,"",(H357-G357*0.891738)/(G357*0.891738))</f>
        <v/>
      </c>
      <c r="L357" s="3" t="n">
        <v>-32</v>
      </c>
      <c r="M357" s="3" t="n">
        <v>0</v>
      </c>
      <c r="N357" s="3" t="n">
        <v>-133</v>
      </c>
      <c r="O357" s="3" t="n">
        <v>0</v>
      </c>
      <c r="P357" s="3" t="n">
        <v>0</v>
      </c>
      <c r="Q357" s="3">
        <f>SUM(L357:P357)-I357</f>
        <v/>
      </c>
    </row>
    <row r="358">
      <c r="A358" s="2" t="inlineStr">
        <is>
          <t>max-king-syd</t>
        </is>
      </c>
      <c r="B358" s="2" t="inlineStr">
        <is>
          <t>Maxwell King</t>
        </is>
      </c>
      <c r="C358" s="2" t="inlineStr">
        <is>
          <t>Sydney</t>
        </is>
      </c>
      <c r="D358" s="2" t="inlineStr">
        <is>
          <t>SF</t>
        </is>
      </c>
      <c r="E358" s="2" t="n">
        <v>19</v>
      </c>
      <c r="F358" s="2" t="inlineStr">
        <is>
          <t>National pick 49</t>
        </is>
      </c>
      <c r="G358" s="3" t="n">
        <v>155</v>
      </c>
      <c r="H358" s="3" t="n">
        <v>137</v>
      </c>
      <c r="I358" s="3">
        <f>H358-G358</f>
        <v/>
      </c>
      <c r="J358" s="4">
        <f>IF(G358=0,"",(H358-G358)/G358)</f>
        <v/>
      </c>
      <c r="K358" s="4">
        <f>IF(G358=0,"",(H358-G358*0.891738)/(G358*0.891738))</f>
        <v/>
      </c>
      <c r="L358" s="3" t="n">
        <v>0</v>
      </c>
      <c r="M358" s="3" t="n">
        <v>0</v>
      </c>
      <c r="N358" s="3" t="n">
        <v>-18</v>
      </c>
      <c r="O358" s="3" t="n">
        <v>0</v>
      </c>
      <c r="P358" s="3" t="n">
        <v>0</v>
      </c>
      <c r="Q358" s="3">
        <f>SUM(L358:P358)-I358</f>
        <v/>
      </c>
    </row>
    <row r="359">
      <c r="A359" s="2" t="inlineStr">
        <is>
          <t>archie-ludowyke</t>
        </is>
      </c>
      <c r="B359" s="2" t="inlineStr">
        <is>
          <t>Archie Ludowyke</t>
        </is>
      </c>
      <c r="C359" s="2" t="inlineStr">
        <is>
          <t>Adelaide</t>
        </is>
      </c>
      <c r="D359" s="2" t="inlineStr">
        <is>
          <t>KPF</t>
        </is>
      </c>
      <c r="E359" s="2" t="n">
        <v>19</v>
      </c>
      <c r="F359" s="2" t="inlineStr">
        <is>
          <t>National pick 50</t>
        </is>
      </c>
      <c r="G359" s="3" t="n">
        <v>215</v>
      </c>
      <c r="H359" s="3" t="n">
        <v>151</v>
      </c>
      <c r="I359" s="3">
        <f>H359-G359</f>
        <v/>
      </c>
      <c r="J359" s="4">
        <f>IF(G359=0,"",(H359-G359)/G359)</f>
        <v/>
      </c>
      <c r="K359" s="4">
        <f>IF(G359=0,"",(H359-G359*0.891738)/(G359*0.891738))</f>
        <v/>
      </c>
      <c r="L359" s="3" t="n">
        <v>35</v>
      </c>
      <c r="M359" s="3" t="n">
        <v>0</v>
      </c>
      <c r="N359" s="3" t="n">
        <v>-31</v>
      </c>
      <c r="O359" s="3" t="n">
        <v>-34</v>
      </c>
      <c r="P359" s="3" t="n">
        <v>-34</v>
      </c>
      <c r="Q359" s="3">
        <f>SUM(L359:P359)-I359</f>
        <v/>
      </c>
    </row>
    <row r="360">
      <c r="A360" s="2" t="inlineStr">
        <is>
          <t>hugh-boxshall</t>
        </is>
      </c>
      <c r="B360" s="2" t="inlineStr">
        <is>
          <t>Hugh Boxshall</t>
        </is>
      </c>
      <c r="C360" s="2" t="inlineStr">
        <is>
          <t>St Kilda</t>
        </is>
      </c>
      <c r="D360" s="2" t="inlineStr">
        <is>
          <t>MID</t>
        </is>
      </c>
      <c r="E360" s="2" t="n">
        <v>20</v>
      </c>
      <c r="F360" s="2" t="inlineStr">
        <is>
          <t>National pick 45</t>
        </is>
      </c>
      <c r="G360" s="3" t="n">
        <v>929</v>
      </c>
      <c r="H360" s="3" t="n">
        <v>654</v>
      </c>
      <c r="I360" s="3">
        <f>H360-G360</f>
        <v/>
      </c>
      <c r="J360" s="4">
        <f>IF(G360=0,"",(H360-G360)/G360)</f>
        <v/>
      </c>
      <c r="K360" s="4">
        <f>IF(G360=0,"",(H360-G360*0.891738)/(G360*0.891738))</f>
        <v/>
      </c>
      <c r="L360" s="3" t="n">
        <v>-195</v>
      </c>
      <c r="M360" s="3" t="n">
        <v>0</v>
      </c>
      <c r="N360" s="3" t="n">
        <v>-80</v>
      </c>
      <c r="O360" s="3" t="n">
        <v>0</v>
      </c>
      <c r="P360" s="3" t="n">
        <v>0</v>
      </c>
      <c r="Q360" s="3">
        <f>SUM(L360:P360)-I360</f>
        <v/>
      </c>
    </row>
    <row r="361">
      <c r="A361" s="2" t="inlineStr">
        <is>
          <t>kyle-langford</t>
        </is>
      </c>
      <c r="B361" s="2" t="inlineStr">
        <is>
          <t>Kyle Langford</t>
        </is>
      </c>
      <c r="C361" s="2" t="inlineStr">
        <is>
          <t>Essendon</t>
        </is>
      </c>
      <c r="D361" s="2" t="inlineStr">
        <is>
          <t>KPF</t>
        </is>
      </c>
      <c r="E361" s="2" t="n">
        <v>30</v>
      </c>
      <c r="F361" s="2" t="inlineStr">
        <is>
          <t>National pick 18</t>
        </is>
      </c>
      <c r="G361" s="3" t="n">
        <v>554</v>
      </c>
      <c r="H361" s="3" t="n">
        <v>470</v>
      </c>
      <c r="I361" s="3">
        <f>H361-G361</f>
        <v/>
      </c>
      <c r="J361" s="4">
        <f>IF(G361=0,"",(H361-G361)/G361)</f>
        <v/>
      </c>
      <c r="K361" s="4">
        <f>IF(G361=0,"",(H361-G361*0.891738)/(G361*0.891738))</f>
        <v/>
      </c>
      <c r="L361" s="3" t="n">
        <v>-9</v>
      </c>
      <c r="M361" s="3" t="n">
        <v>-18</v>
      </c>
      <c r="N361" s="3" t="n">
        <v>-57</v>
      </c>
      <c r="O361" s="3" t="n">
        <v>0</v>
      </c>
      <c r="P361" s="3" t="n">
        <v>0</v>
      </c>
      <c r="Q361" s="3">
        <f>SUM(L361:P361)-I361</f>
        <v/>
      </c>
    </row>
    <row r="362">
      <c r="A362" s="2" t="inlineStr">
        <is>
          <t>tom-brown</t>
        </is>
      </c>
      <c r="B362" s="2" t="inlineStr">
        <is>
          <t>Tom Brown</t>
        </is>
      </c>
      <c r="C362" s="2" t="inlineStr">
        <is>
          <t>Richmond</t>
        </is>
      </c>
      <c r="D362" s="2" t="inlineStr">
        <is>
          <t>SD</t>
        </is>
      </c>
      <c r="E362" s="2" t="n">
        <v>23</v>
      </c>
      <c r="F362" s="2" t="inlineStr">
        <is>
          <t>National pick 17</t>
        </is>
      </c>
      <c r="G362" s="3" t="n">
        <v>492</v>
      </c>
      <c r="H362" s="3" t="n">
        <v>422</v>
      </c>
      <c r="I362" s="3">
        <f>H362-G362</f>
        <v/>
      </c>
      <c r="J362" s="4">
        <f>IF(G362=0,"",(H362-G362)/G362)</f>
        <v/>
      </c>
      <c r="K362" s="4">
        <f>IF(G362=0,"",(H362-G362*0.891738)/(G362*0.891738))</f>
        <v/>
      </c>
      <c r="L362" s="3" t="n">
        <v>-19</v>
      </c>
      <c r="M362" s="3" t="n">
        <v>0</v>
      </c>
      <c r="N362" s="3" t="n">
        <v>-51</v>
      </c>
      <c r="O362" s="3" t="n">
        <v>0</v>
      </c>
      <c r="P362" s="3" t="n">
        <v>0</v>
      </c>
      <c r="Q362" s="3">
        <f>SUM(L362:P362)-I362</f>
        <v/>
      </c>
    </row>
    <row r="363">
      <c r="A363" s="2" t="inlineStr">
        <is>
          <t>charlie-west</t>
        </is>
      </c>
      <c r="B363" s="2" t="inlineStr">
        <is>
          <t>Charlie West</t>
        </is>
      </c>
      <c r="C363" s="2" t="inlineStr">
        <is>
          <t>Collingwood</t>
        </is>
      </c>
      <c r="D363" s="2" t="inlineStr">
        <is>
          <t>KPF</t>
        </is>
      </c>
      <c r="E363" s="2" t="n">
        <v>20</v>
      </c>
      <c r="F363" s="2" t="inlineStr">
        <is>
          <t>National pick 50</t>
        </is>
      </c>
      <c r="G363" s="3" t="n">
        <v>446</v>
      </c>
      <c r="H363" s="3" t="n">
        <v>531</v>
      </c>
      <c r="I363" s="3">
        <f>H363-G363</f>
        <v/>
      </c>
      <c r="J363" s="4">
        <f>IF(G363=0,"",(H363-G363)/G363)</f>
        <v/>
      </c>
      <c r="K363" s="4">
        <f>IF(G363=0,"",(H363-G363*0.891738)/(G363*0.891738))</f>
        <v/>
      </c>
      <c r="L363" s="3" t="n">
        <v>170</v>
      </c>
      <c r="M363" s="3" t="n">
        <v>0</v>
      </c>
      <c r="N363" s="3" t="n">
        <v>-68</v>
      </c>
      <c r="O363" s="3" t="n">
        <v>-12</v>
      </c>
      <c r="P363" s="3" t="n">
        <v>-5</v>
      </c>
      <c r="Q363" s="3">
        <f>SUM(L363:P363)-I363</f>
        <v/>
      </c>
    </row>
    <row r="364">
      <c r="A364" s="2" t="inlineStr">
        <is>
          <t>sam-davidson</t>
        </is>
      </c>
      <c r="B364" s="2" t="inlineStr">
        <is>
          <t>Sam Davidson</t>
        </is>
      </c>
      <c r="C364" s="2" t="inlineStr">
        <is>
          <t>Western Bulldogs</t>
        </is>
      </c>
      <c r="D364" s="2" t="inlineStr">
        <is>
          <t>SF</t>
        </is>
      </c>
      <c r="E364" s="2" t="n">
        <v>25</v>
      </c>
      <c r="F364" s="2" t="inlineStr">
        <is>
          <t>National pick 51</t>
        </is>
      </c>
      <c r="G364" s="3" t="n">
        <v>80</v>
      </c>
      <c r="H364" s="3" t="n">
        <v>69</v>
      </c>
      <c r="I364" s="3">
        <f>H364-G364</f>
        <v/>
      </c>
      <c r="J364" s="4">
        <f>IF(G364=0,"",(H364-G364)/G364)</f>
        <v/>
      </c>
      <c r="K364" s="4">
        <f>IF(G364=0,"",(H364-G364*0.891738)/(G364*0.891738))</f>
        <v/>
      </c>
      <c r="L364" s="3" t="n">
        <v>0</v>
      </c>
      <c r="M364" s="3" t="n">
        <v>0</v>
      </c>
      <c r="N364" s="3" t="n">
        <v>-11</v>
      </c>
      <c r="O364" s="3" t="n">
        <v>0</v>
      </c>
      <c r="P364" s="3" t="n">
        <v>0</v>
      </c>
      <c r="Q364" s="3">
        <f>SUM(L364:P364)-I364</f>
        <v/>
      </c>
    </row>
    <row r="365">
      <c r="A365" s="2" t="inlineStr">
        <is>
          <t>wil-powell</t>
        </is>
      </c>
      <c r="B365" s="2" t="inlineStr">
        <is>
          <t>Wil Powell</t>
        </is>
      </c>
      <c r="C365" s="2" t="inlineStr">
        <is>
          <t>Gold Coast</t>
        </is>
      </c>
      <c r="D365" s="2" t="inlineStr">
        <is>
          <t>SD</t>
        </is>
      </c>
      <c r="E365" s="2" t="n">
        <v>27</v>
      </c>
      <c r="F365" s="2" t="inlineStr">
        <is>
          <t>National pick 19</t>
        </is>
      </c>
      <c r="G365" s="3" t="n">
        <v>694</v>
      </c>
      <c r="H365" s="3" t="n">
        <v>610</v>
      </c>
      <c r="I365" s="3">
        <f>H365-G365</f>
        <v/>
      </c>
      <c r="J365" s="4">
        <f>IF(G365=0,"",(H365-G365)/G365)</f>
        <v/>
      </c>
      <c r="K365" s="4">
        <f>IF(G365=0,"",(H365-G365*0.891738)/(G365*0.891738))</f>
        <v/>
      </c>
      <c r="L365" s="3" t="n">
        <v>-10</v>
      </c>
      <c r="M365" s="3" t="n">
        <v>0</v>
      </c>
      <c r="N365" s="3" t="n">
        <v>-74</v>
      </c>
      <c r="O365" s="3" t="n">
        <v>0</v>
      </c>
      <c r="P365" s="3" t="n">
        <v>0</v>
      </c>
      <c r="Q365" s="3">
        <f>SUM(L365:P365)-I365</f>
        <v/>
      </c>
    </row>
    <row r="366">
      <c r="A366" s="2" t="inlineStr">
        <is>
          <t>max-knobel</t>
        </is>
      </c>
      <c r="B366" s="2" t="inlineStr">
        <is>
          <t>Max Knobel</t>
        </is>
      </c>
      <c r="C366" s="2" t="inlineStr">
        <is>
          <t>Gold Coast</t>
        </is>
      </c>
      <c r="D366" s="2" t="inlineStr">
        <is>
          <t>RUCK</t>
        </is>
      </c>
      <c r="E366" s="2" t="n">
        <v>22</v>
      </c>
      <c r="F366" s="2" t="inlineStr">
        <is>
          <t>National pick 42</t>
        </is>
      </c>
      <c r="G366" s="3" t="n">
        <v>412</v>
      </c>
      <c r="H366" s="3" t="n">
        <v>377</v>
      </c>
      <c r="I366" s="3">
        <f>H366-G366</f>
        <v/>
      </c>
      <c r="J366" s="4">
        <f>IF(G366=0,"",(H366-G366)/G366)</f>
        <v/>
      </c>
      <c r="K366" s="4">
        <f>IF(G366=0,"",(H366-G366*0.891738)/(G366*0.891738))</f>
        <v/>
      </c>
      <c r="L366" s="3" t="n">
        <v>0</v>
      </c>
      <c r="M366" s="3" t="n">
        <v>0</v>
      </c>
      <c r="N366" s="3" t="n">
        <v>-35</v>
      </c>
      <c r="O366" s="3" t="n">
        <v>0</v>
      </c>
      <c r="P366" s="3" t="n">
        <v>0</v>
      </c>
      <c r="Q366" s="3">
        <f>SUM(L366:P366)-I366</f>
        <v/>
      </c>
    </row>
    <row r="367">
      <c r="A367" s="2" t="inlineStr">
        <is>
          <t>cooper-bell</t>
        </is>
      </c>
      <c r="B367" s="2" t="inlineStr">
        <is>
          <t>Cooper Bell</t>
        </is>
      </c>
      <c r="C367" s="2" t="inlineStr">
        <is>
          <t>Gold Coast</t>
        </is>
      </c>
      <c r="D367" s="2" t="inlineStr">
        <is>
          <t>KPD</t>
        </is>
      </c>
      <c r="E367" s="2" t="n">
        <v>20</v>
      </c>
      <c r="F367" s="2" t="inlineStr">
        <is>
          <t>National pick 49</t>
        </is>
      </c>
      <c r="G367" s="3" t="n">
        <v>157</v>
      </c>
      <c r="H367" s="3" t="n">
        <v>138</v>
      </c>
      <c r="I367" s="3">
        <f>H367-G367</f>
        <v/>
      </c>
      <c r="J367" s="4">
        <f>IF(G367=0,"",(H367-G367)/G367)</f>
        <v/>
      </c>
      <c r="K367" s="4">
        <f>IF(G367=0,"",(H367-G367*0.891738)/(G367*0.891738))</f>
        <v/>
      </c>
      <c r="L367" s="3" t="n">
        <v>0</v>
      </c>
      <c r="M367" s="3" t="n">
        <v>0</v>
      </c>
      <c r="N367" s="3" t="n">
        <v>-19</v>
      </c>
      <c r="O367" s="3" t="n">
        <v>0</v>
      </c>
      <c r="P367" s="3" t="n">
        <v>0</v>
      </c>
      <c r="Q367" s="3">
        <f>SUM(L367:P367)-I367</f>
        <v/>
      </c>
    </row>
    <row r="368">
      <c r="A368" s="2" t="inlineStr">
        <is>
          <t>willem-drew</t>
        </is>
      </c>
      <c r="B368" s="2" t="inlineStr">
        <is>
          <t>Willem Drew</t>
        </is>
      </c>
      <c r="C368" s="2" t="inlineStr">
        <is>
          <t>Port Adelaide</t>
        </is>
      </c>
      <c r="D368" s="2" t="inlineStr">
        <is>
          <t>MID</t>
        </is>
      </c>
      <c r="E368" s="2" t="n">
        <v>28</v>
      </c>
      <c r="F368" s="2" t="inlineStr">
        <is>
          <t>National pick 33</t>
        </is>
      </c>
      <c r="G368" s="3" t="n">
        <v>620</v>
      </c>
      <c r="H368" s="3" t="n">
        <v>544</v>
      </c>
      <c r="I368" s="3">
        <f>H368-G368</f>
        <v/>
      </c>
      <c r="J368" s="4">
        <f>IF(G368=0,"",(H368-G368)/G368)</f>
        <v/>
      </c>
      <c r="K368" s="4">
        <f>IF(G368=0,"",(H368-G368*0.891738)/(G368*0.891738))</f>
        <v/>
      </c>
      <c r="L368" s="3" t="n">
        <v>-9</v>
      </c>
      <c r="M368" s="3" t="n">
        <v>0</v>
      </c>
      <c r="N368" s="3" t="n">
        <v>-67</v>
      </c>
      <c r="O368" s="3" t="n">
        <v>0</v>
      </c>
      <c r="P368" s="3" t="n">
        <v>0</v>
      </c>
      <c r="Q368" s="3">
        <f>SUM(L368:P368)-I368</f>
        <v/>
      </c>
    </row>
    <row r="369">
      <c r="A369" s="2" t="inlineStr">
        <is>
          <t>harry-rowston</t>
        </is>
      </c>
      <c r="B369" s="2" t="inlineStr">
        <is>
          <t>Harry Rowston</t>
        </is>
      </c>
      <c r="C369" s="2" t="inlineStr">
        <is>
          <t>GWS</t>
        </is>
      </c>
      <c r="D369" s="2" t="inlineStr">
        <is>
          <t>MID</t>
        </is>
      </c>
      <c r="E369" s="2" t="n">
        <v>22</v>
      </c>
      <c r="F369" s="2" t="inlineStr">
        <is>
          <t>National pick 16</t>
        </is>
      </c>
      <c r="G369" s="3" t="n">
        <v>727</v>
      </c>
      <c r="H369" s="3" t="n">
        <v>590</v>
      </c>
      <c r="I369" s="3">
        <f>H369-G369</f>
        <v/>
      </c>
      <c r="J369" s="4">
        <f>IF(G369=0,"",(H369-G369)/G369)</f>
        <v/>
      </c>
      <c r="K369" s="4">
        <f>IF(G369=0,"",(H369-G369*0.891738)/(G369*0.891738))</f>
        <v/>
      </c>
      <c r="L369" s="3" t="n">
        <v>-65</v>
      </c>
      <c r="M369" s="3" t="n">
        <v>0</v>
      </c>
      <c r="N369" s="3" t="n">
        <v>-72</v>
      </c>
      <c r="O369" s="3" t="n">
        <v>0</v>
      </c>
      <c r="P369" s="3" t="n">
        <v>0</v>
      </c>
      <c r="Q369" s="3">
        <f>SUM(L369:P369)-I369</f>
        <v/>
      </c>
    </row>
    <row r="370">
      <c r="A370" s="2" t="inlineStr">
        <is>
          <t>cameron-rayner</t>
        </is>
      </c>
      <c r="B370" s="2" t="inlineStr">
        <is>
          <t>Cameron Rayner</t>
        </is>
      </c>
      <c r="C370" s="2" t="inlineStr">
        <is>
          <t>Brisbane</t>
        </is>
      </c>
      <c r="D370" s="2" t="inlineStr">
        <is>
          <t>SF</t>
        </is>
      </c>
      <c r="E370" s="2" t="n">
        <v>27</v>
      </c>
      <c r="F370" s="2" t="inlineStr">
        <is>
          <t>National pick 1</t>
        </is>
      </c>
      <c r="G370" s="3" t="n">
        <v>687</v>
      </c>
      <c r="H370" s="3" t="n">
        <v>603</v>
      </c>
      <c r="I370" s="3">
        <f>H370-G370</f>
        <v/>
      </c>
      <c r="J370" s="4">
        <f>IF(G370=0,"",(H370-G370)/G370)</f>
        <v/>
      </c>
      <c r="K370" s="4">
        <f>IF(G370=0,"",(H370-G370*0.891738)/(G370*0.891738))</f>
        <v/>
      </c>
      <c r="L370" s="3" t="n">
        <v>-10</v>
      </c>
      <c r="M370" s="3" t="n">
        <v>0</v>
      </c>
      <c r="N370" s="3" t="n">
        <v>-74</v>
      </c>
      <c r="O370" s="3" t="n">
        <v>0</v>
      </c>
      <c r="P370" s="3" t="n">
        <v>0</v>
      </c>
      <c r="Q370" s="3">
        <f>SUM(L370:P370)-I370</f>
        <v/>
      </c>
    </row>
    <row r="371">
      <c r="A371" s="2" t="inlineStr">
        <is>
          <t>joel-jeffrey</t>
        </is>
      </c>
      <c r="B371" s="2" t="inlineStr">
        <is>
          <t>Joel Jeffrey</t>
        </is>
      </c>
      <c r="C371" s="2" t="inlineStr">
        <is>
          <t>Gold Coast</t>
        </is>
      </c>
      <c r="D371" s="2" t="inlineStr">
        <is>
          <t>SD</t>
        </is>
      </c>
      <c r="E371" s="2" t="n">
        <v>24</v>
      </c>
      <c r="F371" s="2" t="inlineStr">
        <is>
          <t>National pick 30</t>
        </is>
      </c>
      <c r="G371" s="3" t="n">
        <v>1587</v>
      </c>
      <c r="H371" s="3" t="n">
        <v>1400</v>
      </c>
      <c r="I371" s="3">
        <f>H371-G371</f>
        <v/>
      </c>
      <c r="J371" s="4">
        <f>IF(G371=0,"",(H371-G371)/G371)</f>
        <v/>
      </c>
      <c r="K371" s="4">
        <f>IF(G371=0,"",(H371-G371*0.891738)/(G371*0.891738))</f>
        <v/>
      </c>
      <c r="L371" s="3" t="n">
        <v>-18</v>
      </c>
      <c r="M371" s="3" t="n">
        <v>0</v>
      </c>
      <c r="N371" s="3" t="n">
        <v>-169</v>
      </c>
      <c r="O371" s="3" t="n">
        <v>0</v>
      </c>
      <c r="P371" s="3" t="n">
        <v>0</v>
      </c>
      <c r="Q371" s="3">
        <f>SUM(L371:P371)-I371</f>
        <v/>
      </c>
    </row>
    <row r="372">
      <c r="A372" s="2" t="inlineStr">
        <is>
          <t>jack-ison</t>
        </is>
      </c>
      <c r="B372" s="2" t="inlineStr">
        <is>
          <t>Jack Ison</t>
        </is>
      </c>
      <c r="C372" s="2" t="inlineStr">
        <is>
          <t>Carlton</t>
        </is>
      </c>
      <c r="D372" s="2" t="inlineStr">
        <is>
          <t>SF</t>
        </is>
      </c>
      <c r="E372" s="2" t="n">
        <v>19</v>
      </c>
      <c r="F372" s="2" t="inlineStr">
        <is>
          <t>National pick 47</t>
        </is>
      </c>
      <c r="G372" s="3" t="n">
        <v>544</v>
      </c>
      <c r="H372" s="3" t="n">
        <v>240</v>
      </c>
      <c r="I372" s="3">
        <f>H372-G372</f>
        <v/>
      </c>
      <c r="J372" s="4">
        <f>IF(G372=0,"",(H372-G372)/G372)</f>
        <v/>
      </c>
      <c r="K372" s="4">
        <f>IF(G372=0,"",(H372-G372*0.891738)/(G372*0.891738))</f>
        <v/>
      </c>
      <c r="L372" s="3" t="n">
        <v>-275</v>
      </c>
      <c r="M372" s="3" t="n">
        <v>0</v>
      </c>
      <c r="N372" s="3" t="n">
        <v>-29</v>
      </c>
      <c r="O372" s="3" t="n">
        <v>0</v>
      </c>
      <c r="P372" s="3" t="n">
        <v>0</v>
      </c>
      <c r="Q372" s="3">
        <f>SUM(L372:P372)-I372</f>
        <v/>
      </c>
    </row>
    <row r="373">
      <c r="A373" s="2" t="inlineStr">
        <is>
          <t>angus-hastie</t>
        </is>
      </c>
      <c r="B373" s="2" t="inlineStr">
        <is>
          <t>Angus Hastie</t>
        </is>
      </c>
      <c r="C373" s="2" t="inlineStr">
        <is>
          <t>St Kilda</t>
        </is>
      </c>
      <c r="D373" s="2" t="inlineStr">
        <is>
          <t>SD</t>
        </is>
      </c>
      <c r="E373" s="2" t="n">
        <v>21</v>
      </c>
      <c r="F373" s="2" t="inlineStr">
        <is>
          <t>National pick 33</t>
        </is>
      </c>
      <c r="G373" s="3" t="n">
        <v>191</v>
      </c>
      <c r="H373" s="3" t="n">
        <v>174</v>
      </c>
      <c r="I373" s="3">
        <f>H373-G373</f>
        <v/>
      </c>
      <c r="J373" s="4">
        <f>IF(G373=0,"",(H373-G373)/G373)</f>
        <v/>
      </c>
      <c r="K373" s="4">
        <f>IF(G373=0,"",(H373-G373*0.891738)/(G373*0.891738))</f>
        <v/>
      </c>
      <c r="L373" s="3" t="n">
        <v>-2</v>
      </c>
      <c r="M373" s="3" t="n">
        <v>0</v>
      </c>
      <c r="N373" s="3" t="n">
        <v>-15</v>
      </c>
      <c r="O373" s="3" t="n">
        <v>0</v>
      </c>
      <c r="P373" s="3" t="n">
        <v>0</v>
      </c>
      <c r="Q373" s="3">
        <f>SUM(L373:P373)-I373</f>
        <v/>
      </c>
    </row>
    <row r="374">
      <c r="A374" s="2" t="inlineStr">
        <is>
          <t>cooper-lord</t>
        </is>
      </c>
      <c r="B374" s="2" t="inlineStr">
        <is>
          <t>Cooper Lord</t>
        </is>
      </c>
      <c r="C374" s="2" t="inlineStr">
        <is>
          <t>Carlton</t>
        </is>
      </c>
      <c r="D374" s="2" t="inlineStr">
        <is>
          <t>MID</t>
        </is>
      </c>
      <c r="E374" s="2" t="n">
        <v>21</v>
      </c>
      <c r="F374" s="2" t="inlineStr">
        <is>
          <t>Mid-Season pick 9</t>
        </is>
      </c>
      <c r="G374" s="3" t="n">
        <v>1150</v>
      </c>
      <c r="H374" s="3" t="n">
        <v>918</v>
      </c>
      <c r="I374" s="3">
        <f>H374-G374</f>
        <v/>
      </c>
      <c r="J374" s="4">
        <f>IF(G374=0,"",(H374-G374)/G374)</f>
        <v/>
      </c>
      <c r="K374" s="4">
        <f>IF(G374=0,"",(H374-G374*0.891738)/(G374*0.891738))</f>
        <v/>
      </c>
      <c r="L374" s="3" t="n">
        <v>-120</v>
      </c>
      <c r="M374" s="3" t="n">
        <v>0</v>
      </c>
      <c r="N374" s="3" t="n">
        <v>-112</v>
      </c>
      <c r="O374" s="3" t="n">
        <v>0</v>
      </c>
      <c r="P374" s="3" t="n">
        <v>0</v>
      </c>
      <c r="Q374" s="3">
        <f>SUM(L374:P374)-I374</f>
        <v/>
      </c>
    </row>
    <row r="375">
      <c r="A375" s="2" t="inlineStr">
        <is>
          <t>tew-jiath</t>
        </is>
      </c>
      <c r="B375" s="2" t="inlineStr">
        <is>
          <t>Tew Jiath</t>
        </is>
      </c>
      <c r="C375" s="2" t="inlineStr">
        <is>
          <t>Collingwood</t>
        </is>
      </c>
      <c r="D375" s="2" t="inlineStr">
        <is>
          <t>SD</t>
        </is>
      </c>
      <c r="E375" s="2" t="n">
        <v>21</v>
      </c>
      <c r="F375" s="2" t="inlineStr">
        <is>
          <t>National pick 37</t>
        </is>
      </c>
      <c r="G375" s="3" t="n">
        <v>168</v>
      </c>
      <c r="H375" s="3" t="n">
        <v>159</v>
      </c>
      <c r="I375" s="3">
        <f>H375-G375</f>
        <v/>
      </c>
      <c r="J375" s="4">
        <f>IF(G375=0,"",(H375-G375)/G375)</f>
        <v/>
      </c>
      <c r="K375" s="4">
        <f>IF(G375=0,"",(H375-G375*0.891738)/(G375*0.891738))</f>
        <v/>
      </c>
      <c r="L375" s="3" t="n">
        <v>0</v>
      </c>
      <c r="M375" s="3" t="n">
        <v>0</v>
      </c>
      <c r="N375" s="3" t="n">
        <v>-9</v>
      </c>
      <c r="O375" s="3" t="n">
        <v>0</v>
      </c>
      <c r="P375" s="3" t="n">
        <v>0</v>
      </c>
      <c r="Q375" s="3">
        <f>SUM(L375:P375)-I375</f>
        <v/>
      </c>
    </row>
    <row r="376">
      <c r="A376" s="2" t="inlineStr">
        <is>
          <t>finnegan-davis</t>
        </is>
      </c>
      <c r="B376" s="2" t="inlineStr">
        <is>
          <t>Finnegan Davis</t>
        </is>
      </c>
      <c r="C376" s="2" t="inlineStr">
        <is>
          <t>GWS</t>
        </is>
      </c>
      <c r="D376" s="2" t="inlineStr">
        <is>
          <t>SD</t>
        </is>
      </c>
      <c r="E376" s="2" t="n">
        <v>19</v>
      </c>
      <c r="F376" s="2" t="inlineStr">
        <is>
          <t>National pick 51</t>
        </is>
      </c>
      <c r="G376" s="3" t="n">
        <v>172</v>
      </c>
      <c r="H376" s="3" t="n">
        <v>149</v>
      </c>
      <c r="I376" s="3">
        <f>H376-G376</f>
        <v/>
      </c>
      <c r="J376" s="4">
        <f>IF(G376=0,"",(H376-G376)/G376)</f>
        <v/>
      </c>
      <c r="K376" s="4">
        <f>IF(G376=0,"",(H376-G376*0.891738)/(G376*0.891738))</f>
        <v/>
      </c>
      <c r="L376" s="3" t="n">
        <v>0</v>
      </c>
      <c r="M376" s="3" t="n">
        <v>0</v>
      </c>
      <c r="N376" s="3" t="n">
        <v>-23</v>
      </c>
      <c r="O376" s="3" t="n">
        <v>0</v>
      </c>
      <c r="P376" s="3" t="n">
        <v>0</v>
      </c>
      <c r="Q376" s="3">
        <f>SUM(L376:P376)-I376</f>
        <v/>
      </c>
    </row>
    <row r="377">
      <c r="A377" s="2" t="inlineStr">
        <is>
          <t>lucca-grego</t>
        </is>
      </c>
      <c r="B377" s="2" t="inlineStr">
        <is>
          <t>Lucca Grego</t>
        </is>
      </c>
      <c r="C377" s="2" t="inlineStr">
        <is>
          <t>West Coast</t>
        </is>
      </c>
      <c r="D377" s="2" t="inlineStr">
        <is>
          <t>SD</t>
        </is>
      </c>
      <c r="E377" s="2" t="n">
        <v>20</v>
      </c>
      <c r="F377" s="2" t="inlineStr">
        <is>
          <t>National pick 48</t>
        </is>
      </c>
      <c r="G377" s="3" t="n">
        <v>126</v>
      </c>
      <c r="H377" s="3" t="n">
        <v>113</v>
      </c>
      <c r="I377" s="3">
        <f>H377-G377</f>
        <v/>
      </c>
      <c r="J377" s="4">
        <f>IF(G377=0,"",(H377-G377)/G377)</f>
        <v/>
      </c>
      <c r="K377" s="4">
        <f>IF(G377=0,"",(H377-G377*0.891738)/(G377*0.891738))</f>
        <v/>
      </c>
      <c r="L377" s="3" t="n">
        <v>0</v>
      </c>
      <c r="M377" s="3" t="n">
        <v>0</v>
      </c>
      <c r="N377" s="3" t="n">
        <v>-13</v>
      </c>
      <c r="O377" s="3" t="n">
        <v>0</v>
      </c>
      <c r="P377" s="3" t="n">
        <v>0</v>
      </c>
      <c r="Q377" s="3">
        <f>SUM(L377:P377)-I377</f>
        <v/>
      </c>
    </row>
    <row r="378">
      <c r="A378" s="2" t="inlineStr">
        <is>
          <t>liam-fawcett</t>
        </is>
      </c>
      <c r="B378" s="2" t="inlineStr">
        <is>
          <t>Liam Fawcett</t>
        </is>
      </c>
      <c r="C378" s="2" t="inlineStr">
        <is>
          <t>Richmond</t>
        </is>
      </c>
      <c r="D378" s="2" t="inlineStr">
        <is>
          <t>KPF</t>
        </is>
      </c>
      <c r="E378" s="2" t="n">
        <v>21</v>
      </c>
      <c r="F378" s="2" t="inlineStr">
        <is>
          <t>National pick 43</t>
        </is>
      </c>
      <c r="G378" s="3" t="n">
        <v>461</v>
      </c>
      <c r="H378" s="3" t="n">
        <v>385</v>
      </c>
      <c r="I378" s="3">
        <f>H378-G378</f>
        <v/>
      </c>
      <c r="J378" s="4">
        <f>IF(G378=0,"",(H378-G378)/G378)</f>
        <v/>
      </c>
      <c r="K378" s="4">
        <f>IF(G378=0,"",(H378-G378*0.891738)/(G378*0.891738))</f>
        <v/>
      </c>
      <c r="L378" s="3" t="n">
        <v>-29</v>
      </c>
      <c r="M378" s="3" t="n">
        <v>0</v>
      </c>
      <c r="N378" s="3" t="n">
        <v>-47</v>
      </c>
      <c r="O378" s="3" t="n">
        <v>0</v>
      </c>
      <c r="P378" s="3" t="n">
        <v>0</v>
      </c>
      <c r="Q378" s="3">
        <f>SUM(L378:P378)-I378</f>
        <v/>
      </c>
    </row>
    <row r="379">
      <c r="A379" s="2" t="inlineStr">
        <is>
          <t>leek-aleer</t>
        </is>
      </c>
      <c r="B379" s="2" t="inlineStr">
        <is>
          <t>Leek Aleer</t>
        </is>
      </c>
      <c r="C379" s="2" t="inlineStr">
        <is>
          <t>GWS</t>
        </is>
      </c>
      <c r="D379" s="2" t="inlineStr">
        <is>
          <t>KPD</t>
        </is>
      </c>
      <c r="E379" s="2" t="n">
        <v>25</v>
      </c>
      <c r="F379" s="2" t="inlineStr">
        <is>
          <t>National pick 15</t>
        </is>
      </c>
      <c r="G379" s="3" t="n">
        <v>208</v>
      </c>
      <c r="H379" s="3" t="n">
        <v>148</v>
      </c>
      <c r="I379" s="3">
        <f>H379-G379</f>
        <v/>
      </c>
      <c r="J379" s="4">
        <f>IF(G379=0,"",(H379-G379)/G379)</f>
        <v/>
      </c>
      <c r="K379" s="4">
        <f>IF(G379=0,"",(H379-G379*0.891738)/(G379*0.891738))</f>
        <v/>
      </c>
      <c r="L379" s="3" t="n">
        <v>-42</v>
      </c>
      <c r="M379" s="3" t="n">
        <v>0</v>
      </c>
      <c r="N379" s="3" t="n">
        <v>-18</v>
      </c>
      <c r="O379" s="3" t="n">
        <v>0</v>
      </c>
      <c r="P379" s="3" t="n">
        <v>0</v>
      </c>
      <c r="Q379" s="3">
        <f>SUM(L379:P379)-I379</f>
        <v/>
      </c>
    </row>
    <row r="380">
      <c r="A380" s="2" t="inlineStr">
        <is>
          <t>jamarra-ugle-hagan</t>
        </is>
      </c>
      <c r="B380" s="2" t="inlineStr">
        <is>
          <t>Jamarra Ugle-Hagan</t>
        </is>
      </c>
      <c r="C380" s="2" t="inlineStr">
        <is>
          <t>Gold Coast</t>
        </is>
      </c>
      <c r="D380" s="2" t="inlineStr">
        <is>
          <t>KPF</t>
        </is>
      </c>
      <c r="E380" s="2" t="n">
        <v>24</v>
      </c>
      <c r="F380" s="2" t="inlineStr">
        <is>
          <t>National pick 1</t>
        </is>
      </c>
      <c r="G380" s="3" t="n">
        <v>285</v>
      </c>
      <c r="H380" s="3" t="n">
        <v>250</v>
      </c>
      <c r="I380" s="3">
        <f>H380-G380</f>
        <v/>
      </c>
      <c r="J380" s="4">
        <f>IF(G380=0,"",(H380-G380)/G380)</f>
        <v/>
      </c>
      <c r="K380" s="4">
        <f>IF(G380=0,"",(H380-G380*0.891738)/(G380*0.891738))</f>
        <v/>
      </c>
      <c r="L380" s="3" t="n">
        <v>-5</v>
      </c>
      <c r="M380" s="3" t="n">
        <v>0</v>
      </c>
      <c r="N380" s="3" t="n">
        <v>-30</v>
      </c>
      <c r="O380" s="3" t="n">
        <v>0</v>
      </c>
      <c r="P380" s="3" t="n">
        <v>0</v>
      </c>
      <c r="Q380" s="3">
        <f>SUM(L380:P380)-I380</f>
        <v/>
      </c>
    </row>
    <row r="381">
      <c r="A381" s="2" t="inlineStr">
        <is>
          <t>jack-crisp</t>
        </is>
      </c>
      <c r="B381" s="2" t="inlineStr">
        <is>
          <t>Jack Crisp</t>
        </is>
      </c>
      <c r="C381" s="2" t="inlineStr">
        <is>
          <t>Collingwood</t>
        </is>
      </c>
      <c r="D381" s="2" t="inlineStr">
        <is>
          <t>MID</t>
        </is>
      </c>
      <c r="E381" s="2" t="n">
        <v>33</v>
      </c>
      <c r="F381" s="2" t="inlineStr">
        <is>
          <t>Rookie pick 34</t>
        </is>
      </c>
      <c r="G381" s="3" t="n">
        <v>453</v>
      </c>
      <c r="H381" s="3" t="n">
        <v>399</v>
      </c>
      <c r="I381" s="3">
        <f>H381-G381</f>
        <v/>
      </c>
      <c r="J381" s="4">
        <f>IF(G381=0,"",(H381-G381)/G381)</f>
        <v/>
      </c>
      <c r="K381" s="4">
        <f>IF(G381=0,"",(H381-G381*0.891738)/(G381*0.891738))</f>
        <v/>
      </c>
      <c r="L381" s="3" t="n">
        <v>-5</v>
      </c>
      <c r="M381" s="3" t="n">
        <v>0</v>
      </c>
      <c r="N381" s="3" t="n">
        <v>-49</v>
      </c>
      <c r="O381" s="3" t="n">
        <v>0</v>
      </c>
      <c r="P381" s="3" t="n">
        <v>0</v>
      </c>
      <c r="Q381" s="3">
        <f>SUM(L381:P381)-I381</f>
        <v/>
      </c>
    </row>
    <row r="382">
      <c r="A382" s="2" t="inlineStr">
        <is>
          <t>lukas-cooke</t>
        </is>
      </c>
      <c r="B382" s="2" t="inlineStr">
        <is>
          <t>Lukas Cooke</t>
        </is>
      </c>
      <c r="C382" s="2" t="inlineStr">
        <is>
          <t>Melbourne</t>
        </is>
      </c>
      <c r="D382" s="2" t="inlineStr">
        <is>
          <t>KPD</t>
        </is>
      </c>
      <c r="E382" s="2" t="n">
        <v>23</v>
      </c>
      <c r="F382" s="2" t="inlineStr">
        <is>
          <t>Mid-Season pick 11</t>
        </is>
      </c>
      <c r="G382" s="3" t="n">
        <v>152</v>
      </c>
      <c r="H382" s="3" t="n">
        <v>198</v>
      </c>
      <c r="I382" s="3">
        <f>H382-G382</f>
        <v/>
      </c>
      <c r="J382" s="4">
        <f>IF(G382=0,"",(H382-G382)/G382)</f>
        <v/>
      </c>
      <c r="K382" s="4">
        <f>IF(G382=0,"",(H382-G382*0.891738)/(G382*0.891738))</f>
        <v/>
      </c>
      <c r="L382" s="3" t="n">
        <v>-12</v>
      </c>
      <c r="M382" s="3" t="n">
        <v>0</v>
      </c>
      <c r="N382" s="3" t="n">
        <v>-4</v>
      </c>
      <c r="O382" s="3" t="n">
        <v>17</v>
      </c>
      <c r="P382" s="3" t="n">
        <v>45</v>
      </c>
      <c r="Q382" s="3">
        <f>SUM(L382:P382)-I382</f>
        <v/>
      </c>
    </row>
    <row r="383">
      <c r="A383" s="2" t="inlineStr">
        <is>
          <t>mitch-podhajski</t>
        </is>
      </c>
      <c r="B383" s="2" t="inlineStr">
        <is>
          <t>Mitch Podhajski</t>
        </is>
      </c>
      <c r="C383" s="2" t="inlineStr">
        <is>
          <t>Collingwood</t>
        </is>
      </c>
      <c r="D383" s="2" t="inlineStr">
        <is>
          <t>KPF</t>
        </is>
      </c>
      <c r="E383" s="2" t="n">
        <v>27</v>
      </c>
      <c r="F383" s="2" t="inlineStr">
        <is>
          <t>Mid-Season pick 17</t>
        </is>
      </c>
      <c r="G383" s="3" t="n">
        <v>103</v>
      </c>
      <c r="H383" s="3" t="n">
        <v>200</v>
      </c>
      <c r="I383" s="3">
        <f>H383-G383</f>
        <v/>
      </c>
      <c r="J383" s="4">
        <f>IF(G383=0,"",(H383-G383)/G383)</f>
        <v/>
      </c>
      <c r="K383" s="4">
        <f>IF(G383=0,"",(H383-G383*0.891738)/(G383*0.891738))</f>
        <v/>
      </c>
      <c r="L383" s="3" t="n">
        <v>5</v>
      </c>
      <c r="M383" s="3" t="n">
        <v>0</v>
      </c>
      <c r="N383" s="3" t="n">
        <v>-1</v>
      </c>
      <c r="O383" s="3" t="n">
        <v>25</v>
      </c>
      <c r="P383" s="3" t="n">
        <v>68</v>
      </c>
      <c r="Q383" s="3">
        <f>SUM(L383:P383)-I383</f>
        <v/>
      </c>
    </row>
    <row r="384">
      <c r="A384" s="2" t="inlineStr">
        <is>
          <t>kye-fincher</t>
        </is>
      </c>
      <c r="B384" s="2" t="inlineStr">
        <is>
          <t>Kye Fincher</t>
        </is>
      </c>
      <c r="C384" s="2" t="inlineStr">
        <is>
          <t>St Kilda</t>
        </is>
      </c>
      <c r="D384" s="2" t="inlineStr">
        <is>
          <t>MID</t>
        </is>
      </c>
      <c r="E384" s="2" t="n">
        <v>19</v>
      </c>
      <c r="F384" s="2" t="inlineStr">
        <is>
          <t>National pick 52</t>
        </is>
      </c>
      <c r="G384" s="3" t="n">
        <v>259</v>
      </c>
      <c r="H384" s="3" t="n">
        <v>219</v>
      </c>
      <c r="I384" s="3">
        <f>H384-G384</f>
        <v/>
      </c>
      <c r="J384" s="4">
        <f>IF(G384=0,"",(H384-G384)/G384)</f>
        <v/>
      </c>
      <c r="K384" s="4">
        <f>IF(G384=0,"",(H384-G384*0.891738)/(G384*0.891738))</f>
        <v/>
      </c>
      <c r="L384" s="3" t="n">
        <v>0</v>
      </c>
      <c r="M384" s="3" t="n">
        <v>0</v>
      </c>
      <c r="N384" s="3" t="n">
        <v>-40</v>
      </c>
      <c r="O384" s="3" t="n">
        <v>0</v>
      </c>
      <c r="P384" s="3" t="n">
        <v>0</v>
      </c>
      <c r="Q384" s="3">
        <f>SUM(L384:P384)-I384</f>
        <v/>
      </c>
    </row>
    <row r="385">
      <c r="A385" s="2" t="inlineStr">
        <is>
          <t>jay-polkinghorne</t>
        </is>
      </c>
      <c r="B385" s="2" t="inlineStr">
        <is>
          <t>Jay Polkinghorne</t>
        </is>
      </c>
      <c r="C385" s="2" t="inlineStr">
        <is>
          <t>Geelong</t>
        </is>
      </c>
      <c r="D385" s="2" t="inlineStr">
        <is>
          <t>SF</t>
        </is>
      </c>
      <c r="E385" s="2" t="n">
        <v>20</v>
      </c>
      <c r="F385" s="2" t="inlineStr">
        <is>
          <t>National pick 44</t>
        </is>
      </c>
      <c r="G385" s="3" t="n">
        <v>431</v>
      </c>
      <c r="H385" s="3" t="n">
        <v>172</v>
      </c>
      <c r="I385" s="3">
        <f>H385-G385</f>
        <v/>
      </c>
      <c r="J385" s="4">
        <f>IF(G385=0,"",(H385-G385)/G385)</f>
        <v/>
      </c>
      <c r="K385" s="4">
        <f>IF(G385=0,"",(H385-G385*0.891738)/(G385*0.891738))</f>
        <v/>
      </c>
      <c r="L385" s="3" t="n">
        <v>-172</v>
      </c>
      <c r="M385" s="3" t="n">
        <v>0</v>
      </c>
      <c r="N385" s="3" t="n">
        <v>-27</v>
      </c>
      <c r="O385" s="3" t="n">
        <v>-23</v>
      </c>
      <c r="P385" s="3" t="n">
        <v>-37</v>
      </c>
      <c r="Q385" s="3">
        <f>SUM(L385:P385)-I385</f>
        <v/>
      </c>
    </row>
    <row r="386">
      <c r="A386" s="2" t="inlineStr">
        <is>
          <t>archie-may</t>
        </is>
      </c>
      <c r="B386" s="2" t="inlineStr">
        <is>
          <t>Archie May</t>
        </is>
      </c>
      <c r="C386" s="2" t="inlineStr">
        <is>
          <t>Essendon</t>
        </is>
      </c>
      <c r="D386" s="2" t="inlineStr">
        <is>
          <t>KPF</t>
        </is>
      </c>
      <c r="E386" s="2" t="n">
        <v>22</v>
      </c>
      <c r="F386" s="2" t="inlineStr">
        <is>
          <t>Mid-Season pick 6</t>
        </is>
      </c>
      <c r="G386" s="3" t="n">
        <v>429</v>
      </c>
      <c r="H386" s="3" t="n">
        <v>260</v>
      </c>
      <c r="I386" s="3">
        <f>H386-G386</f>
        <v/>
      </c>
      <c r="J386" s="4">
        <f>IF(G386=0,"",(H386-G386)/G386)</f>
        <v/>
      </c>
      <c r="K386" s="4">
        <f>IF(G386=0,"",(H386-G386*0.891738)/(G386*0.891738))</f>
        <v/>
      </c>
      <c r="L386" s="3" t="n">
        <v>-137</v>
      </c>
      <c r="M386" s="3" t="n">
        <v>0</v>
      </c>
      <c r="N386" s="3" t="n">
        <v>-32</v>
      </c>
      <c r="O386" s="3" t="n">
        <v>0</v>
      </c>
      <c r="P386" s="3" t="n">
        <v>0</v>
      </c>
      <c r="Q386" s="3">
        <f>SUM(L386:P386)-I386</f>
        <v/>
      </c>
    </row>
    <row r="387">
      <c r="A387" s="2" t="inlineStr">
        <is>
          <t>alex-dodson</t>
        </is>
      </c>
      <c r="B387" s="2" t="inlineStr">
        <is>
          <t>Alex Dodson</t>
        </is>
      </c>
      <c r="C387" s="2" t="inlineStr">
        <is>
          <t>St Kilda</t>
        </is>
      </c>
      <c r="D387" s="2" t="inlineStr">
        <is>
          <t>RUCK</t>
        </is>
      </c>
      <c r="E387" s="2" t="n">
        <v>20</v>
      </c>
      <c r="F387" s="2" t="inlineStr">
        <is>
          <t>National pick 53</t>
        </is>
      </c>
      <c r="G387" s="3" t="n">
        <v>278</v>
      </c>
      <c r="H387" s="3" t="n">
        <v>235</v>
      </c>
      <c r="I387" s="3">
        <f>H387-G387</f>
        <v/>
      </c>
      <c r="J387" s="4">
        <f>IF(G387=0,"",(H387-G387)/G387)</f>
        <v/>
      </c>
      <c r="K387" s="4">
        <f>IF(G387=0,"",(H387-G387*0.891738)/(G387*0.891738))</f>
        <v/>
      </c>
      <c r="L387" s="3" t="n">
        <v>0</v>
      </c>
      <c r="M387" s="3" t="n">
        <v>0</v>
      </c>
      <c r="N387" s="3" t="n">
        <v>-43</v>
      </c>
      <c r="O387" s="3" t="n">
        <v>0</v>
      </c>
      <c r="P387" s="3" t="n">
        <v>0</v>
      </c>
      <c r="Q387" s="3">
        <f>SUM(L387:P387)-I387</f>
        <v/>
      </c>
    </row>
    <row r="388">
      <c r="A388" s="2" t="inlineStr">
        <is>
          <t>flynn-riley</t>
        </is>
      </c>
      <c r="B388" s="2" t="inlineStr">
        <is>
          <t>Flynn Riley</t>
        </is>
      </c>
      <c r="C388" s="2" t="inlineStr">
        <is>
          <t>Carlton</t>
        </is>
      </c>
      <c r="D388" s="2" t="inlineStr">
        <is>
          <t>RUCK</t>
        </is>
      </c>
      <c r="E388" s="2" t="n">
        <v>22</v>
      </c>
      <c r="F388" s="2" t="inlineStr">
        <is>
          <t>Mid-Season pick 4</t>
        </is>
      </c>
      <c r="G388" s="3" t="n">
        <v>276</v>
      </c>
      <c r="H388" s="3" t="n">
        <v>236</v>
      </c>
      <c r="I388" s="3">
        <f>H388-G388</f>
        <v/>
      </c>
      <c r="J388" s="4">
        <f>IF(G388=0,"",(H388-G388)/G388)</f>
        <v/>
      </c>
      <c r="K388" s="4">
        <f>IF(G388=0,"",(H388-G388*0.891738)/(G388*0.891738))</f>
        <v/>
      </c>
      <c r="L388" s="3" t="n">
        <v>-5</v>
      </c>
      <c r="M388" s="3" t="n">
        <v>0</v>
      </c>
      <c r="N388" s="3" t="n">
        <v>-10</v>
      </c>
      <c r="O388" s="3" t="n">
        <v>-14</v>
      </c>
      <c r="P388" s="3" t="n">
        <v>-11</v>
      </c>
      <c r="Q388" s="3">
        <f>SUM(L388:P388)-I388</f>
        <v/>
      </c>
    </row>
    <row r="389">
      <c r="A389" s="2" t="inlineStr">
        <is>
          <t>cooper-simpson</t>
        </is>
      </c>
      <c r="B389" s="2" t="inlineStr">
        <is>
          <t>Cooper Simpson</t>
        </is>
      </c>
      <c r="C389" s="2" t="inlineStr">
        <is>
          <t>Fremantle</t>
        </is>
      </c>
      <c r="D389" s="2" t="inlineStr">
        <is>
          <t>SD</t>
        </is>
      </c>
      <c r="E389" s="2" t="n">
        <v>21</v>
      </c>
      <c r="F389" s="2" t="inlineStr">
        <is>
          <t>National pick 35</t>
        </is>
      </c>
      <c r="G389" s="3" t="n">
        <v>180</v>
      </c>
      <c r="H389" s="3" t="n">
        <v>170</v>
      </c>
      <c r="I389" s="3">
        <f>H389-G389</f>
        <v/>
      </c>
      <c r="J389" s="4">
        <f>IF(G389=0,"",(H389-G389)/G389)</f>
        <v/>
      </c>
      <c r="K389" s="4">
        <f>IF(G389=0,"",(H389-G389*0.891738)/(G389*0.891738))</f>
        <v/>
      </c>
      <c r="L389" s="3" t="n">
        <v>0</v>
      </c>
      <c r="M389" s="3" t="n">
        <v>0</v>
      </c>
      <c r="N389" s="3" t="n">
        <v>-10</v>
      </c>
      <c r="O389" s="3" t="n">
        <v>0</v>
      </c>
      <c r="P389" s="3" t="n">
        <v>0</v>
      </c>
      <c r="Q389" s="3">
        <f>SUM(L389:P389)-I389</f>
        <v/>
      </c>
    </row>
    <row r="390">
      <c r="A390" s="2" t="inlineStr">
        <is>
          <t>jacob-molier</t>
        </is>
      </c>
      <c r="B390" s="2" t="inlineStr">
        <is>
          <t>Jacob Molier</t>
        </is>
      </c>
      <c r="C390" s="2" t="inlineStr">
        <is>
          <t>Geelong</t>
        </is>
      </c>
      <c r="D390" s="2" t="inlineStr">
        <is>
          <t>RUCK</t>
        </is>
      </c>
      <c r="E390" s="2" t="n">
        <v>20</v>
      </c>
      <c r="F390" s="2" t="inlineStr">
        <is>
          <t>National pick 52</t>
        </is>
      </c>
      <c r="G390" s="3" t="n">
        <v>288</v>
      </c>
      <c r="H390" s="3" t="n">
        <v>243</v>
      </c>
      <c r="I390" s="3">
        <f>H390-G390</f>
        <v/>
      </c>
      <c r="J390" s="4">
        <f>IF(G390=0,"",(H390-G390)/G390)</f>
        <v/>
      </c>
      <c r="K390" s="4">
        <f>IF(G390=0,"",(H390-G390*0.891738)/(G390*0.891738))</f>
        <v/>
      </c>
      <c r="L390" s="3" t="n">
        <v>0</v>
      </c>
      <c r="M390" s="3" t="n">
        <v>0</v>
      </c>
      <c r="N390" s="3" t="n">
        <v>-45</v>
      </c>
      <c r="O390" s="3" t="n">
        <v>0</v>
      </c>
      <c r="P390" s="3" t="n">
        <v>0</v>
      </c>
      <c r="Q390" s="3">
        <f>SUM(L390:P390)-I390</f>
        <v/>
      </c>
    </row>
    <row r="391">
      <c r="A391" s="2" t="inlineStr">
        <is>
          <t>blake-hardwick</t>
        </is>
      </c>
      <c r="B391" s="2" t="inlineStr">
        <is>
          <t>Blake Hardwick</t>
        </is>
      </c>
      <c r="C391" s="2" t="inlineStr">
        <is>
          <t>Hawthorn</t>
        </is>
      </c>
      <c r="D391" s="2" t="inlineStr">
        <is>
          <t>SD</t>
        </is>
      </c>
      <c r="E391" s="2" t="n">
        <v>29</v>
      </c>
      <c r="F391" s="2" t="inlineStr">
        <is>
          <t>National pick 44</t>
        </is>
      </c>
      <c r="G391" s="3" t="n">
        <v>491</v>
      </c>
      <c r="H391" s="3" t="n">
        <v>432</v>
      </c>
      <c r="I391" s="3">
        <f>H391-G391</f>
        <v/>
      </c>
      <c r="J391" s="4">
        <f>IF(G391=0,"",(H391-G391)/G391)</f>
        <v/>
      </c>
      <c r="K391" s="4">
        <f>IF(G391=0,"",(H391-G391*0.891738)/(G391*0.891738))</f>
        <v/>
      </c>
      <c r="L391" s="3" t="n">
        <v>-5</v>
      </c>
      <c r="M391" s="3" t="n">
        <v>0</v>
      </c>
      <c r="N391" s="3" t="n">
        <v>-54</v>
      </c>
      <c r="O391" s="3" t="n">
        <v>0</v>
      </c>
      <c r="P391" s="3" t="n">
        <v>0</v>
      </c>
      <c r="Q391" s="3">
        <f>SUM(L391:P391)-I391</f>
        <v/>
      </c>
    </row>
    <row r="392">
      <c r="A392" s="2" t="inlineStr">
        <is>
          <t>brodie-kemp</t>
        </is>
      </c>
      <c r="B392" s="2" t="inlineStr">
        <is>
          <t>Brodie Kemp</t>
        </is>
      </c>
      <c r="C392" s="2" t="inlineStr">
        <is>
          <t>Carlton</t>
        </is>
      </c>
      <c r="D392" s="2" t="inlineStr">
        <is>
          <t>KPF</t>
        </is>
      </c>
      <c r="E392" s="2" t="n">
        <v>25</v>
      </c>
      <c r="F392" s="2" t="inlineStr">
        <is>
          <t>National pick 17</t>
        </is>
      </c>
      <c r="G392" s="3" t="n">
        <v>768</v>
      </c>
      <c r="H392" s="3" t="n">
        <v>662</v>
      </c>
      <c r="I392" s="3">
        <f>H392-G392</f>
        <v/>
      </c>
      <c r="J392" s="4">
        <f>IF(G392=0,"",(H392-G392)/G392)</f>
        <v/>
      </c>
      <c r="K392" s="4">
        <f>IF(G392=0,"",(H392-G392*0.891738)/(G392*0.891738))</f>
        <v/>
      </c>
      <c r="L392" s="3" t="n">
        <v>-26</v>
      </c>
      <c r="M392" s="3" t="n">
        <v>0</v>
      </c>
      <c r="N392" s="3" t="n">
        <v>-80</v>
      </c>
      <c r="O392" s="3" t="n">
        <v>0</v>
      </c>
      <c r="P392" s="3" t="n">
        <v>0</v>
      </c>
      <c r="Q392" s="3">
        <f>SUM(L392:P392)-I392</f>
        <v/>
      </c>
    </row>
    <row r="393">
      <c r="A393" s="2" t="inlineStr">
        <is>
          <t>oliver-griffin</t>
        </is>
      </c>
      <c r="B393" s="2" t="inlineStr">
        <is>
          <t>Oliver Griffin</t>
        </is>
      </c>
      <c r="C393" s="2" t="inlineStr">
        <is>
          <t>North Melbourne</t>
        </is>
      </c>
      <c r="D393" s="2" t="inlineStr">
        <is>
          <t>SF</t>
        </is>
      </c>
      <c r="E393" s="2" t="n">
        <v>19</v>
      </c>
      <c r="F393" s="2" t="inlineStr">
        <is>
          <t>Mid-Season pick 6</t>
        </is>
      </c>
      <c r="G393" s="3" t="n">
        <v>180</v>
      </c>
      <c r="H393" s="3" t="n">
        <v>180</v>
      </c>
      <c r="I393" s="3">
        <f>H393-G393</f>
        <v/>
      </c>
      <c r="J393" s="4">
        <f>IF(G393=0,"",(H393-G393)/G393)</f>
        <v/>
      </c>
      <c r="K393" s="4">
        <f>IF(G393=0,"",(H393-G393*0.891738)/(G393*0.891738))</f>
        <v/>
      </c>
      <c r="L393" s="3" t="n">
        <v>0</v>
      </c>
      <c r="M393" s="3" t="n">
        <v>0</v>
      </c>
      <c r="N393" s="3" t="n">
        <v>0</v>
      </c>
      <c r="O393" s="3" t="n">
        <v>0</v>
      </c>
      <c r="P393" s="3" t="n">
        <v>0</v>
      </c>
      <c r="Q393" s="3">
        <f>SUM(L393:P393)-I393</f>
        <v/>
      </c>
    </row>
    <row r="394">
      <c r="A394" s="2" t="inlineStr">
        <is>
          <t>harrison-coe</t>
        </is>
      </c>
      <c r="B394" s="2" t="inlineStr">
        <is>
          <t>Harrison Coe</t>
        </is>
      </c>
      <c r="C394" s="2" t="inlineStr">
        <is>
          <t>Collingwood</t>
        </is>
      </c>
      <c r="D394" s="2" t="inlineStr">
        <is>
          <t>RUCK</t>
        </is>
      </c>
      <c r="E394" s="2" t="n">
        <v>27</v>
      </c>
      <c r="F394" s="2" t="inlineStr">
        <is>
          <t>Mid-Season pick 8</t>
        </is>
      </c>
      <c r="G394" s="3" t="n">
        <v>235</v>
      </c>
      <c r="H394" s="3" t="n">
        <v>235</v>
      </c>
      <c r="I394" s="3">
        <f>H394-G394</f>
        <v/>
      </c>
      <c r="J394" s="4">
        <f>IF(G394=0,"",(H394-G394)/G394)</f>
        <v/>
      </c>
      <c r="K394" s="4">
        <f>IF(G394=0,"",(H394-G394*0.891738)/(G394*0.891738))</f>
        <v/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>
        <f>SUM(L394:P394)-I394</f>
        <v/>
      </c>
    </row>
    <row r="395">
      <c r="A395" s="2" t="inlineStr">
        <is>
          <t>caleb-may</t>
        </is>
      </c>
      <c r="B395" s="2" t="inlineStr">
        <is>
          <t>Caleb May</t>
        </is>
      </c>
      <c r="C395" s="2" t="inlineStr">
        <is>
          <t>Western Bulldogs</t>
        </is>
      </c>
      <c r="D395" s="2" t="inlineStr">
        <is>
          <t>RUCK</t>
        </is>
      </c>
      <c r="E395" s="2" t="n">
        <v>21</v>
      </c>
      <c r="F395" s="2" t="inlineStr">
        <is>
          <t>Mid-Season pick 9</t>
        </is>
      </c>
      <c r="G395" s="3" t="n">
        <v>235</v>
      </c>
      <c r="H395" s="3" t="n">
        <v>235</v>
      </c>
      <c r="I395" s="3">
        <f>H395-G395</f>
        <v/>
      </c>
      <c r="J395" s="4">
        <f>IF(G395=0,"",(H395-G395)/G395)</f>
        <v/>
      </c>
      <c r="K395" s="4">
        <f>IF(G395=0,"",(H395-G395*0.891738)/(G395*0.891738))</f>
        <v/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>
        <f>SUM(L395:P395)-I395</f>
        <v/>
      </c>
    </row>
    <row r="396">
      <c r="A396" s="2" t="inlineStr">
        <is>
          <t>max-beattie</t>
        </is>
      </c>
      <c r="B396" s="2" t="inlineStr">
        <is>
          <t>Max Beattie</t>
        </is>
      </c>
      <c r="C396" s="2" t="inlineStr">
        <is>
          <t>Hawthorn</t>
        </is>
      </c>
      <c r="D396" s="2" t="inlineStr">
        <is>
          <t>SF</t>
        </is>
      </c>
      <c r="E396" s="2" t="n">
        <v>23</v>
      </c>
      <c r="F396" s="2" t="inlineStr">
        <is>
          <t>Mid-Season pick 12</t>
        </is>
      </c>
      <c r="G396" s="3" t="n">
        <v>180</v>
      </c>
      <c r="H396" s="3" t="n">
        <v>180</v>
      </c>
      <c r="I396" s="3">
        <f>H396-G396</f>
        <v/>
      </c>
      <c r="J396" s="4">
        <f>IF(G396=0,"",(H396-G396)/G396)</f>
        <v/>
      </c>
      <c r="K396" s="4">
        <f>IF(G396=0,"",(H396-G396*0.891738)/(G396*0.891738))</f>
        <v/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>
        <f>SUM(L396:P396)-I396</f>
        <v/>
      </c>
    </row>
    <row r="397">
      <c r="A397" s="2" t="inlineStr">
        <is>
          <t>alex-van-wyk</t>
        </is>
      </c>
      <c r="B397" s="2" t="inlineStr">
        <is>
          <t>Alex Van Wyk</t>
        </is>
      </c>
      <c r="C397" s="2" t="inlineStr">
        <is>
          <t>Port Adelaide</t>
        </is>
      </c>
      <c r="D397" s="2" t="inlineStr">
        <is>
          <t>RUCK</t>
        </is>
      </c>
      <c r="E397" s="2" t="n">
        <v>22</v>
      </c>
      <c r="F397" s="2" t="inlineStr">
        <is>
          <t>Mid-Season pick 14</t>
        </is>
      </c>
      <c r="G397" s="3" t="n">
        <v>235</v>
      </c>
      <c r="H397" s="3" t="n">
        <v>235</v>
      </c>
      <c r="I397" s="3">
        <f>H397-G397</f>
        <v/>
      </c>
      <c r="J397" s="4">
        <f>IF(G397=0,"",(H397-G397)/G397)</f>
        <v/>
      </c>
      <c r="K397" s="4">
        <f>IF(G397=0,"",(H397-G397*0.891738)/(G397*0.891738))</f>
        <v/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>
        <f>SUM(L397:P397)-I397</f>
        <v/>
      </c>
    </row>
    <row r="398">
      <c r="A398" s="2" t="inlineStr">
        <is>
          <t>max-mapley</t>
        </is>
      </c>
      <c r="B398" s="2" t="inlineStr">
        <is>
          <t>Max Mapley</t>
        </is>
      </c>
      <c r="C398" s="2" t="inlineStr">
        <is>
          <t>Melbourne</t>
        </is>
      </c>
      <c r="D398" s="2" t="inlineStr">
        <is>
          <t>RUCK</t>
        </is>
      </c>
      <c r="E398" s="2" t="n">
        <v>21</v>
      </c>
      <c r="F398" s="2" t="inlineStr">
        <is>
          <t>Mid-Season pick 18</t>
        </is>
      </c>
      <c r="G398" s="3" t="n">
        <v>235</v>
      </c>
      <c r="H398" s="3" t="n">
        <v>235</v>
      </c>
      <c r="I398" s="3">
        <f>H398-G398</f>
        <v/>
      </c>
      <c r="J398" s="4">
        <f>IF(G398=0,"",(H398-G398)/G398)</f>
        <v/>
      </c>
      <c r="K398" s="4">
        <f>IF(G398=0,"",(H398-G398*0.891738)/(G398*0.891738))</f>
        <v/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>
        <f>SUM(L398:P398)-I398</f>
        <v/>
      </c>
    </row>
    <row r="399">
      <c r="A399" s="2" t="inlineStr">
        <is>
          <t>harrison-ramm</t>
        </is>
      </c>
      <c r="B399" s="2" t="inlineStr">
        <is>
          <t>Harrison Ramm</t>
        </is>
      </c>
      <c r="C399" s="2" t="inlineStr">
        <is>
          <t>Port Adelaide</t>
        </is>
      </c>
      <c r="D399" s="2" t="inlineStr">
        <is>
          <t>KPD</t>
        </is>
      </c>
      <c r="E399" s="2" t="n">
        <v>20</v>
      </c>
      <c r="F399" s="2" t="inlineStr">
        <is>
          <t>Mid-Season pick 3</t>
        </is>
      </c>
      <c r="G399" s="3" t="n">
        <v>338</v>
      </c>
      <c r="H399" s="3" t="n">
        <v>169</v>
      </c>
      <c r="I399" s="3">
        <f>H399-G399</f>
        <v/>
      </c>
      <c r="J399" s="4">
        <f>IF(G399=0,"",(H399-G399)/G399)</f>
        <v/>
      </c>
      <c r="K399" s="4">
        <f>IF(G399=0,"",(H399-G399*0.891738)/(G399*0.891738))</f>
        <v/>
      </c>
      <c r="L399" s="3" t="n">
        <v>-63</v>
      </c>
      <c r="M399" s="3" t="n">
        <v>0</v>
      </c>
      <c r="N399" s="3" t="n">
        <v>-23</v>
      </c>
      <c r="O399" s="3" t="n">
        <v>-31</v>
      </c>
      <c r="P399" s="3" t="n">
        <v>-52</v>
      </c>
      <c r="Q399" s="3">
        <f>SUM(L399:P399)-I399</f>
        <v/>
      </c>
    </row>
    <row r="400">
      <c r="A400" s="2" t="inlineStr">
        <is>
          <t>clay-hall</t>
        </is>
      </c>
      <c r="B400" s="2" t="inlineStr">
        <is>
          <t>Clay Hall</t>
        </is>
      </c>
      <c r="C400" s="2" t="inlineStr">
        <is>
          <t>West Coast</t>
        </is>
      </c>
      <c r="D400" s="2" t="inlineStr">
        <is>
          <t>MID</t>
        </is>
      </c>
      <c r="E400" s="2" t="n">
        <v>21</v>
      </c>
      <c r="F400" s="2" t="inlineStr">
        <is>
          <t>National pick 38</t>
        </is>
      </c>
      <c r="G400" s="3" t="n">
        <v>286</v>
      </c>
      <c r="H400" s="3" t="n">
        <v>260</v>
      </c>
      <c r="I400" s="3">
        <f>H400-G400</f>
        <v/>
      </c>
      <c r="J400" s="4">
        <f>IF(G400=0,"",(H400-G400)/G400)</f>
        <v/>
      </c>
      <c r="K400" s="4">
        <f>IF(G400=0,"",(H400-G400*0.891738)/(G400*0.891738))</f>
        <v/>
      </c>
      <c r="L400" s="3" t="n">
        <v>-1</v>
      </c>
      <c r="M400" s="3" t="n">
        <v>0</v>
      </c>
      <c r="N400" s="3" t="n">
        <v>-25</v>
      </c>
      <c r="O400" s="3" t="n">
        <v>0</v>
      </c>
      <c r="P400" s="3" t="n">
        <v>0</v>
      </c>
      <c r="Q400" s="3">
        <f>SUM(L400:P400)-I400</f>
        <v/>
      </c>
    </row>
    <row r="401">
      <c r="A401" s="2" t="inlineStr">
        <is>
          <t>sam-banks</t>
        </is>
      </c>
      <c r="B401" s="2" t="inlineStr">
        <is>
          <t>Sam Banks</t>
        </is>
      </c>
      <c r="C401" s="2" t="inlineStr">
        <is>
          <t>Richmond</t>
        </is>
      </c>
      <c r="D401" s="2" t="inlineStr">
        <is>
          <t>SD</t>
        </is>
      </c>
      <c r="E401" s="2" t="n">
        <v>23</v>
      </c>
      <c r="F401" s="2" t="inlineStr">
        <is>
          <t>National pick 29</t>
        </is>
      </c>
      <c r="G401" s="3" t="n">
        <v>983</v>
      </c>
      <c r="H401" s="3" t="n">
        <v>863</v>
      </c>
      <c r="I401" s="3">
        <f>H401-G401</f>
        <v/>
      </c>
      <c r="J401" s="4">
        <f>IF(G401=0,"",(H401-G401)/G401)</f>
        <v/>
      </c>
      <c r="K401" s="4">
        <f>IF(G401=0,"",(H401-G401*0.891738)/(G401*0.891738))</f>
        <v/>
      </c>
      <c r="L401" s="3" t="n">
        <v>-15</v>
      </c>
      <c r="M401" s="3" t="n">
        <v>0</v>
      </c>
      <c r="N401" s="3" t="n">
        <v>-105</v>
      </c>
      <c r="O401" s="3" t="n">
        <v>0</v>
      </c>
      <c r="P401" s="3" t="n">
        <v>0</v>
      </c>
      <c r="Q401" s="3">
        <f>SUM(L401:P401)-I401</f>
        <v/>
      </c>
    </row>
    <row r="402">
      <c r="A402" s="2" t="inlineStr">
        <is>
          <t>patrick-retschko</t>
        </is>
      </c>
      <c r="B402" s="2" t="inlineStr">
        <is>
          <t>Patrick Retschko</t>
        </is>
      </c>
      <c r="C402" s="2" t="inlineStr">
        <is>
          <t>Geelong</t>
        </is>
      </c>
      <c r="D402" s="2" t="inlineStr">
        <is>
          <t>MID</t>
        </is>
      </c>
      <c r="E402" s="2" t="n">
        <v>20</v>
      </c>
      <c r="F402" s="2" t="inlineStr">
        <is>
          <t>Rookie pick 8</t>
        </is>
      </c>
      <c r="G402" s="3" t="n">
        <v>1353</v>
      </c>
      <c r="H402" s="3" t="n">
        <v>979</v>
      </c>
      <c r="I402" s="3">
        <f>H402-G402</f>
        <v/>
      </c>
      <c r="J402" s="4">
        <f>IF(G402=0,"",(H402-G402)/G402)</f>
        <v/>
      </c>
      <c r="K402" s="4">
        <f>IF(G402=0,"",(H402-G402*0.891738)/(G402*0.891738))</f>
        <v/>
      </c>
      <c r="L402" s="3" t="n">
        <v>-256</v>
      </c>
      <c r="M402" s="3" t="n">
        <v>0</v>
      </c>
      <c r="N402" s="3" t="n">
        <v>-118</v>
      </c>
      <c r="O402" s="3" t="n">
        <v>0</v>
      </c>
      <c r="P402" s="3" t="n">
        <v>0</v>
      </c>
      <c r="Q402" s="3">
        <f>SUM(L402:P402)-I402</f>
        <v/>
      </c>
    </row>
    <row r="403">
      <c r="A403" s="2" t="inlineStr">
        <is>
          <t>peter-ladhams</t>
        </is>
      </c>
      <c r="B403" s="2" t="inlineStr">
        <is>
          <t>Peter Ladhams</t>
        </is>
      </c>
      <c r="C403" s="2" t="inlineStr">
        <is>
          <t>Sydney</t>
        </is>
      </c>
      <c r="D403" s="2" t="inlineStr">
        <is>
          <t>RUCK</t>
        </is>
      </c>
      <c r="E403" s="2" t="n">
        <v>28</v>
      </c>
      <c r="F403" s="2" t="inlineStr">
        <is>
          <t>Rookie pick 7</t>
        </is>
      </c>
      <c r="G403" s="3" t="n">
        <v>538</v>
      </c>
      <c r="H403" s="3" t="n">
        <v>463</v>
      </c>
      <c r="I403" s="3">
        <f>H403-G403</f>
        <v/>
      </c>
      <c r="J403" s="4">
        <f>IF(G403=0,"",(H403-G403)/G403)</f>
        <v/>
      </c>
      <c r="K403" s="4">
        <f>IF(G403=0,"",(H403-G403*0.891738)/(G403*0.891738))</f>
        <v/>
      </c>
      <c r="L403" s="3" t="n">
        <v>-18</v>
      </c>
      <c r="M403" s="3" t="n">
        <v>0</v>
      </c>
      <c r="N403" s="3" t="n">
        <v>-57</v>
      </c>
      <c r="O403" s="3" t="n">
        <v>0</v>
      </c>
      <c r="P403" s="3" t="n">
        <v>0</v>
      </c>
      <c r="Q403" s="3">
        <f>SUM(L403:P403)-I403</f>
        <v/>
      </c>
    </row>
    <row r="404">
      <c r="A404" s="2" t="inlineStr">
        <is>
          <t>caleb-lewis</t>
        </is>
      </c>
      <c r="B404" s="2" t="inlineStr">
        <is>
          <t>Caleb Lewis</t>
        </is>
      </c>
      <c r="C404" s="2" t="inlineStr">
        <is>
          <t>Gold Coast</t>
        </is>
      </c>
      <c r="D404" s="2" t="inlineStr">
        <is>
          <t>KPF</t>
        </is>
      </c>
      <c r="E404" s="2" t="n">
        <v>23</v>
      </c>
      <c r="F404" s="2" t="inlineStr">
        <is>
          <t>Mid-Season pick 13</t>
        </is>
      </c>
      <c r="G404" s="3" t="n">
        <v>146</v>
      </c>
      <c r="H404" s="3" t="n">
        <v>128</v>
      </c>
      <c r="I404" s="3">
        <f>H404-G404</f>
        <v/>
      </c>
      <c r="J404" s="4">
        <f>IF(G404=0,"",(H404-G404)/G404)</f>
        <v/>
      </c>
      <c r="K404" s="4">
        <f>IF(G404=0,"",(H404-G404*0.891738)/(G404*0.891738))</f>
        <v/>
      </c>
      <c r="L404" s="3" t="n">
        <v>-18</v>
      </c>
      <c r="M404" s="3" t="n">
        <v>0</v>
      </c>
      <c r="N404" s="3" t="n">
        <v>0</v>
      </c>
      <c r="O404" s="3" t="n">
        <v>0</v>
      </c>
      <c r="P404" s="3" t="n">
        <v>0</v>
      </c>
      <c r="Q404" s="3">
        <f>SUM(L404:P404)-I404</f>
        <v/>
      </c>
    </row>
    <row r="405">
      <c r="A405" s="2" t="inlineStr">
        <is>
          <t>patrick-snell</t>
        </is>
      </c>
      <c r="B405" s="2" t="inlineStr">
        <is>
          <t>Patrick Snell</t>
        </is>
      </c>
      <c r="C405" s="2" t="inlineStr">
        <is>
          <t>Sydney</t>
        </is>
      </c>
      <c r="D405" s="2" t="inlineStr">
        <is>
          <t>KPD</t>
        </is>
      </c>
      <c r="E405" s="2" t="n">
        <v>21</v>
      </c>
      <c r="F405" s="2" t="inlineStr">
        <is>
          <t>National pick 53</t>
        </is>
      </c>
      <c r="G405" s="3" t="n">
        <v>116</v>
      </c>
      <c r="H405" s="3" t="n">
        <v>99</v>
      </c>
      <c r="I405" s="3">
        <f>H405-G405</f>
        <v/>
      </c>
      <c r="J405" s="4">
        <f>IF(G405=0,"",(H405-G405)/G405)</f>
        <v/>
      </c>
      <c r="K405" s="4">
        <f>IF(G405=0,"",(H405-G405*0.891738)/(G405*0.891738))</f>
        <v/>
      </c>
      <c r="L405" s="3" t="n">
        <v>0</v>
      </c>
      <c r="M405" s="3" t="n">
        <v>0</v>
      </c>
      <c r="N405" s="3" t="n">
        <v>-17</v>
      </c>
      <c r="O405" s="3" t="n">
        <v>0</v>
      </c>
      <c r="P405" s="3" t="n">
        <v>0</v>
      </c>
      <c r="Q405" s="3">
        <f>SUM(L405:P405)-I405</f>
        <v/>
      </c>
    </row>
    <row r="406">
      <c r="A406" s="2" t="inlineStr">
        <is>
          <t>adam-saad</t>
        </is>
      </c>
      <c r="B406" s="2" t="inlineStr">
        <is>
          <t>Adam Saad</t>
        </is>
      </c>
      <c r="C406" s="2" t="inlineStr">
        <is>
          <t>Carlton</t>
        </is>
      </c>
      <c r="D406" s="2" t="inlineStr">
        <is>
          <t>SD</t>
        </is>
      </c>
      <c r="E406" s="2" t="n">
        <v>32</v>
      </c>
      <c r="F406" s="2" t="inlineStr">
        <is>
          <t>Rookie pick 19</t>
        </is>
      </c>
      <c r="G406" s="3" t="n">
        <v>446</v>
      </c>
      <c r="H406" s="3" t="n">
        <v>392</v>
      </c>
      <c r="I406" s="3">
        <f>H406-G406</f>
        <v/>
      </c>
      <c r="J406" s="4">
        <f>IF(G406=0,"",(H406-G406)/G406)</f>
        <v/>
      </c>
      <c r="K406" s="4">
        <f>IF(G406=0,"",(H406-G406*0.891738)/(G406*0.891738))</f>
        <v/>
      </c>
      <c r="L406" s="3" t="n">
        <v>-6</v>
      </c>
      <c r="M406" s="3" t="n">
        <v>0</v>
      </c>
      <c r="N406" s="3" t="n">
        <v>-48</v>
      </c>
      <c r="O406" s="3" t="n">
        <v>0</v>
      </c>
      <c r="P406" s="3" t="n">
        <v>0</v>
      </c>
      <c r="Q406" s="3">
        <f>SUM(L406:P406)-I406</f>
        <v/>
      </c>
    </row>
    <row r="407">
      <c r="A407" s="2" t="inlineStr">
        <is>
          <t>zac-mccarthy</t>
        </is>
      </c>
      <c r="B407" s="2" t="inlineStr">
        <is>
          <t>Zac McCarthy</t>
        </is>
      </c>
      <c r="C407" s="2" t="inlineStr">
        <is>
          <t>Collingwood</t>
        </is>
      </c>
      <c r="D407" s="2" t="inlineStr">
        <is>
          <t>KPF</t>
        </is>
      </c>
      <c r="E407" s="2" t="n">
        <v>19</v>
      </c>
      <c r="F407" s="2" t="inlineStr">
        <is>
          <t>National pick 55</t>
        </is>
      </c>
      <c r="G407" s="3" t="n">
        <v>152</v>
      </c>
      <c r="H407" s="3" t="n">
        <v>128</v>
      </c>
      <c r="I407" s="3">
        <f>H407-G407</f>
        <v/>
      </c>
      <c r="J407" s="4">
        <f>IF(G407=0,"",(H407-G407)/G407)</f>
        <v/>
      </c>
      <c r="K407" s="4">
        <f>IF(G407=0,"",(H407-G407*0.891738)/(G407*0.891738))</f>
        <v/>
      </c>
      <c r="L407" s="3" t="n">
        <v>0</v>
      </c>
      <c r="M407" s="3" t="n">
        <v>0</v>
      </c>
      <c r="N407" s="3" t="n">
        <v>-24</v>
      </c>
      <c r="O407" s="3" t="n">
        <v>0</v>
      </c>
      <c r="P407" s="3" t="n">
        <v>0</v>
      </c>
      <c r="Q407" s="3">
        <f>SUM(L407:P407)-I407</f>
        <v/>
      </c>
    </row>
    <row r="408">
      <c r="A408" s="2" t="inlineStr">
        <is>
          <t>tom-gross</t>
        </is>
      </c>
      <c r="B408" s="2" t="inlineStr">
        <is>
          <t>Tom Gross</t>
        </is>
      </c>
      <c r="C408" s="2" t="inlineStr">
        <is>
          <t>West Coast</t>
        </is>
      </c>
      <c r="D408" s="2" t="inlineStr">
        <is>
          <t>MID</t>
        </is>
      </c>
      <c r="E408" s="2" t="n">
        <v>20</v>
      </c>
      <c r="F408" s="2" t="inlineStr">
        <is>
          <t>National pick 46</t>
        </is>
      </c>
      <c r="G408" s="3" t="n">
        <v>569</v>
      </c>
      <c r="H408" s="3" t="n">
        <v>344</v>
      </c>
      <c r="I408" s="3">
        <f>H408-G408</f>
        <v/>
      </c>
      <c r="J408" s="4">
        <f>IF(G408=0,"",(H408-G408)/G408)</f>
        <v/>
      </c>
      <c r="K408" s="4">
        <f>IF(G408=0,"",(H408-G408*0.891738)/(G408*0.891738))</f>
        <v/>
      </c>
      <c r="L408" s="3" t="n">
        <v>-184</v>
      </c>
      <c r="M408" s="3" t="n">
        <v>0</v>
      </c>
      <c r="N408" s="3" t="n">
        <v>-41</v>
      </c>
      <c r="O408" s="3" t="n">
        <v>0</v>
      </c>
      <c r="P408" s="3" t="n">
        <v>0</v>
      </c>
      <c r="Q408" s="3">
        <f>SUM(L408:P408)-I408</f>
        <v/>
      </c>
    </row>
    <row r="409">
      <c r="A409" s="2" t="inlineStr">
        <is>
          <t>hamish-davis</t>
        </is>
      </c>
      <c r="B409" s="2" t="inlineStr">
        <is>
          <t>Hamish Davis</t>
        </is>
      </c>
      <c r="C409" s="2" t="inlineStr">
        <is>
          <t>West Coast</t>
        </is>
      </c>
      <c r="D409" s="2" t="inlineStr">
        <is>
          <t>MID</t>
        </is>
      </c>
      <c r="E409" s="2" t="n">
        <v>20</v>
      </c>
      <c r="F409" s="2" t="inlineStr">
        <is>
          <t>National pick 65</t>
        </is>
      </c>
      <c r="G409" s="3" t="n">
        <v>898</v>
      </c>
      <c r="H409" s="3" t="n">
        <v>595</v>
      </c>
      <c r="I409" s="3">
        <f>H409-G409</f>
        <v/>
      </c>
      <c r="J409" s="4">
        <f>IF(G409=0,"",(H409-G409)/G409)</f>
        <v/>
      </c>
      <c r="K409" s="4">
        <f>IF(G409=0,"",(H409-G409*0.891738)/(G409*0.891738))</f>
        <v/>
      </c>
      <c r="L409" s="3" t="n">
        <v>-231</v>
      </c>
      <c r="M409" s="3" t="n">
        <v>0</v>
      </c>
      <c r="N409" s="3" t="n">
        <v>-72</v>
      </c>
      <c r="O409" s="3" t="n">
        <v>0</v>
      </c>
      <c r="P409" s="3" t="n">
        <v>0</v>
      </c>
      <c r="Q409" s="3">
        <f>SUM(L409:P409)-I409</f>
        <v/>
      </c>
    </row>
    <row r="410">
      <c r="A410" s="2" t="inlineStr">
        <is>
          <t>riak-andrew</t>
        </is>
      </c>
      <c r="B410" s="2" t="inlineStr">
        <is>
          <t>Riak Andrew</t>
        </is>
      </c>
      <c r="C410" s="2" t="inlineStr">
        <is>
          <t>Sydney</t>
        </is>
      </c>
      <c r="D410" s="2" t="inlineStr">
        <is>
          <t>KPD</t>
        </is>
      </c>
      <c r="E410" s="2" t="n">
        <v>21</v>
      </c>
      <c r="F410" s="2" t="inlineStr">
        <is>
          <t>National pick 55</t>
        </is>
      </c>
      <c r="G410" s="3" t="n">
        <v>142</v>
      </c>
      <c r="H410" s="3" t="n">
        <v>120</v>
      </c>
      <c r="I410" s="3">
        <f>H410-G410</f>
        <v/>
      </c>
      <c r="J410" s="4">
        <f>IF(G410=0,"",(H410-G410)/G410)</f>
        <v/>
      </c>
      <c r="K410" s="4">
        <f>IF(G410=0,"",(H410-G410*0.891738)/(G410*0.891738))</f>
        <v/>
      </c>
      <c r="L410" s="3" t="n">
        <v>0</v>
      </c>
      <c r="M410" s="3" t="n">
        <v>0</v>
      </c>
      <c r="N410" s="3" t="n">
        <v>-22</v>
      </c>
      <c r="O410" s="3" t="n">
        <v>0</v>
      </c>
      <c r="P410" s="3" t="n">
        <v>0</v>
      </c>
      <c r="Q410" s="3">
        <f>SUM(L410:P410)-I410</f>
        <v/>
      </c>
    </row>
    <row r="411">
      <c r="A411" s="2" t="inlineStr">
        <is>
          <t>matthew-leray</t>
        </is>
      </c>
      <c r="B411" s="2" t="inlineStr">
        <is>
          <t>Matthew LeRay</t>
        </is>
      </c>
      <c r="C411" s="2" t="inlineStr">
        <is>
          <t>Hawthorn</t>
        </is>
      </c>
      <c r="D411" s="2" t="inlineStr">
        <is>
          <t>MID</t>
        </is>
      </c>
      <c r="E411" s="2" t="n">
        <v>19</v>
      </c>
      <c r="F411" s="2" t="inlineStr">
        <is>
          <t>National pick 56</t>
        </is>
      </c>
      <c r="G411" s="3" t="n">
        <v>228</v>
      </c>
      <c r="H411" s="3" t="n">
        <v>192</v>
      </c>
      <c r="I411" s="3">
        <f>H411-G411</f>
        <v/>
      </c>
      <c r="J411" s="4">
        <f>IF(G411=0,"",(H411-G411)/G411)</f>
        <v/>
      </c>
      <c r="K411" s="4">
        <f>IF(G411=0,"",(H411-G411*0.891738)/(G411*0.891738))</f>
        <v/>
      </c>
      <c r="L411" s="3" t="n">
        <v>0</v>
      </c>
      <c r="M411" s="3" t="n">
        <v>0</v>
      </c>
      <c r="N411" s="3" t="n">
        <v>-36</v>
      </c>
      <c r="O411" s="3" t="n">
        <v>0</v>
      </c>
      <c r="P411" s="3" t="n">
        <v>0</v>
      </c>
      <c r="Q411" s="3">
        <f>SUM(L411:P411)-I411</f>
        <v/>
      </c>
    </row>
    <row r="412">
      <c r="A412" s="2" t="inlineStr">
        <is>
          <t>jack-lukosius</t>
        </is>
      </c>
      <c r="B412" s="2" t="inlineStr">
        <is>
          <t>Jack Lukosius</t>
        </is>
      </c>
      <c r="C412" s="2" t="inlineStr">
        <is>
          <t>Port Adelaide</t>
        </is>
      </c>
      <c r="D412" s="2" t="inlineStr">
        <is>
          <t>SF</t>
        </is>
      </c>
      <c r="E412" s="2" t="n">
        <v>26</v>
      </c>
      <c r="F412" s="2" t="inlineStr">
        <is>
          <t>National pick 2</t>
        </is>
      </c>
      <c r="G412" s="3" t="n">
        <v>472</v>
      </c>
      <c r="H412" s="3" t="n">
        <v>415</v>
      </c>
      <c r="I412" s="3">
        <f>H412-G412</f>
        <v/>
      </c>
      <c r="J412" s="4">
        <f>IF(G412=0,"",(H412-G412)/G412)</f>
        <v/>
      </c>
      <c r="K412" s="4">
        <f>IF(G412=0,"",(H412-G412*0.891738)/(G412*0.891738))</f>
        <v/>
      </c>
      <c r="L412" s="3" t="n">
        <v>-6</v>
      </c>
      <c r="M412" s="3" t="n">
        <v>0</v>
      </c>
      <c r="N412" s="3" t="n">
        <v>-51</v>
      </c>
      <c r="O412" s="3" t="n">
        <v>0</v>
      </c>
      <c r="P412" s="3" t="n">
        <v>0</v>
      </c>
      <c r="Q412" s="3">
        <f>SUM(L412:P412)-I412</f>
        <v/>
      </c>
    </row>
    <row r="413">
      <c r="A413" s="2" t="inlineStr">
        <is>
          <t>isaiah-dudley</t>
        </is>
      </c>
      <c r="B413" s="2" t="inlineStr">
        <is>
          <t>Isaiah Dudley</t>
        </is>
      </c>
      <c r="C413" s="2" t="inlineStr">
        <is>
          <t>Fremantle</t>
        </is>
      </c>
      <c r="D413" s="2" t="inlineStr">
        <is>
          <t>SF</t>
        </is>
      </c>
      <c r="E413" s="2" t="n">
        <v>23</v>
      </c>
      <c r="F413" s="2" t="inlineStr">
        <is>
          <t>SSP (pool)</t>
        </is>
      </c>
      <c r="G413" s="3" t="n">
        <v>142</v>
      </c>
      <c r="H413" s="3" t="n">
        <v>88</v>
      </c>
      <c r="I413" s="3">
        <f>H413-G413</f>
        <v/>
      </c>
      <c r="J413" s="4">
        <f>IF(G413=0,"",(H413-G413)/G413)</f>
        <v/>
      </c>
      <c r="K413" s="4">
        <f>IF(G413=0,"",(H413-G413*0.891738)/(G413*0.891738))</f>
        <v/>
      </c>
      <c r="L413" s="3" t="n">
        <v>-54</v>
      </c>
      <c r="M413" s="3" t="n">
        <v>0</v>
      </c>
      <c r="N413" s="3" t="n">
        <v>0</v>
      </c>
      <c r="O413" s="3" t="n">
        <v>0</v>
      </c>
      <c r="P413" s="3" t="n">
        <v>0</v>
      </c>
      <c r="Q413" s="3">
        <f>SUM(L413:P413)-I413</f>
        <v/>
      </c>
    </row>
    <row r="414">
      <c r="A414" s="2" t="inlineStr">
        <is>
          <t>kalani-white</t>
        </is>
      </c>
      <c r="B414" s="2" t="inlineStr">
        <is>
          <t>Kalani White</t>
        </is>
      </c>
      <c r="C414" s="2" t="inlineStr">
        <is>
          <t>Melbourne</t>
        </is>
      </c>
      <c r="D414" s="2" t="inlineStr">
        <is>
          <t>KPF</t>
        </is>
      </c>
      <c r="E414" s="2" t="n">
        <v>19</v>
      </c>
      <c r="F414" s="2" t="inlineStr">
        <is>
          <t>Post-Draft - Next Gen (pool)</t>
        </is>
      </c>
      <c r="G414" s="3" t="n">
        <v>86</v>
      </c>
      <c r="H414" s="3" t="n">
        <v>86</v>
      </c>
      <c r="I414" s="3">
        <f>H414-G414</f>
        <v/>
      </c>
      <c r="J414" s="4">
        <f>IF(G414=0,"",(H414-G414)/G414)</f>
        <v/>
      </c>
      <c r="K414" s="4">
        <f>IF(G414=0,"",(H414-G414*0.891738)/(G414*0.891738))</f>
        <v/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  <c r="Q414" s="3">
        <f>SUM(L414:P414)-I414</f>
        <v/>
      </c>
    </row>
    <row r="415">
      <c r="A415" s="2" t="inlineStr">
        <is>
          <t>noah-chamberlain</t>
        </is>
      </c>
      <c r="B415" s="2" t="inlineStr">
        <is>
          <t>Noah Chamberlain</t>
        </is>
      </c>
      <c r="C415" s="2" t="inlineStr">
        <is>
          <t>Sydney</t>
        </is>
      </c>
      <c r="D415" s="2" t="inlineStr">
        <is>
          <t>SF</t>
        </is>
      </c>
      <c r="E415" s="2" t="n">
        <v>19</v>
      </c>
      <c r="F415" s="2" t="inlineStr">
        <is>
          <t>Post-Draft - Academy (pool)</t>
        </is>
      </c>
      <c r="G415" s="3" t="n">
        <v>106</v>
      </c>
      <c r="H415" s="3" t="n">
        <v>106</v>
      </c>
      <c r="I415" s="3">
        <f>H415-G415</f>
        <v/>
      </c>
      <c r="J415" s="4">
        <f>IF(G415=0,"",(H415-G415)/G415)</f>
        <v/>
      </c>
      <c r="K415" s="4">
        <f>IF(G415=0,"",(H415-G415*0.891738)/(G415*0.891738))</f>
        <v/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>
        <f>SUM(L415:P415)-I415</f>
        <v/>
      </c>
    </row>
    <row r="416">
      <c r="A416" s="2" t="inlineStr">
        <is>
          <t>liam-hetherton</t>
        </is>
      </c>
      <c r="B416" s="2" t="inlineStr">
        <is>
          <t>Liam Hetherton</t>
        </is>
      </c>
      <c r="C416" s="2" t="inlineStr">
        <is>
          <t>Sydney</t>
        </is>
      </c>
      <c r="D416" s="2" t="inlineStr">
        <is>
          <t>KPF</t>
        </is>
      </c>
      <c r="E416" s="2" t="n">
        <v>19</v>
      </c>
      <c r="F416" s="2" t="inlineStr">
        <is>
          <t>Post-Draft - Academy (pool)</t>
        </is>
      </c>
      <c r="G416" s="3" t="n">
        <v>124</v>
      </c>
      <c r="H416" s="3" t="n">
        <v>124</v>
      </c>
      <c r="I416" s="3">
        <f>H416-G416</f>
        <v/>
      </c>
      <c r="J416" s="4">
        <f>IF(G416=0,"",(H416-G416)/G416)</f>
        <v/>
      </c>
      <c r="K416" s="4">
        <f>IF(G416=0,"",(H416-G416*0.891738)/(G416*0.891738))</f>
        <v/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>
        <f>SUM(L416:P416)-I416</f>
        <v/>
      </c>
    </row>
    <row r="417">
      <c r="A417" s="2" t="inlineStr">
        <is>
          <t>jai-saxena</t>
        </is>
      </c>
      <c r="B417" s="2" t="inlineStr">
        <is>
          <t>Jai Saxena</t>
        </is>
      </c>
      <c r="C417" s="2" t="inlineStr">
        <is>
          <t>Collingwood</t>
        </is>
      </c>
      <c r="D417" s="2" t="inlineStr">
        <is>
          <t>SF</t>
        </is>
      </c>
      <c r="E417" s="2" t="n">
        <v>19</v>
      </c>
      <c r="F417" s="2" t="inlineStr">
        <is>
          <t>Post-Draft - Next Gen (pool)</t>
        </is>
      </c>
      <c r="G417" s="3" t="n">
        <v>77</v>
      </c>
      <c r="H417" s="3" t="n">
        <v>77</v>
      </c>
      <c r="I417" s="3">
        <f>H417-G417</f>
        <v/>
      </c>
      <c r="J417" s="4">
        <f>IF(G417=0,"",(H417-G417)/G417)</f>
        <v/>
      </c>
      <c r="K417" s="4">
        <f>IF(G417=0,"",(H417-G417*0.891738)/(G417*0.891738))</f>
        <v/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>
        <f>SUM(L417:P417)-I417</f>
        <v/>
      </c>
    </row>
    <row r="418">
      <c r="A418" s="2" t="inlineStr">
        <is>
          <t>ryda-luke</t>
        </is>
      </c>
      <c r="B418" s="2" t="inlineStr">
        <is>
          <t>Ryda Luke</t>
        </is>
      </c>
      <c r="C418" s="2" t="inlineStr">
        <is>
          <t>Fremantle</t>
        </is>
      </c>
      <c r="D418" s="2" t="inlineStr">
        <is>
          <t>SF</t>
        </is>
      </c>
      <c r="E418" s="2" t="n">
        <v>19</v>
      </c>
      <c r="F418" s="2" t="inlineStr">
        <is>
          <t>Post-Draft - Next Gen (pool)</t>
        </is>
      </c>
      <c r="G418" s="3" t="n">
        <v>77</v>
      </c>
      <c r="H418" s="3" t="n">
        <v>77</v>
      </c>
      <c r="I418" s="3">
        <f>H418-G418</f>
        <v/>
      </c>
      <c r="J418" s="4">
        <f>IF(G418=0,"",(H418-G418)/G418)</f>
        <v/>
      </c>
      <c r="K418" s="4">
        <f>IF(G418=0,"",(H418-G418*0.891738)/(G418*0.891738))</f>
        <v/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>
        <f>SUM(L418:P418)-I418</f>
        <v/>
      </c>
    </row>
    <row r="419">
      <c r="A419" s="2" t="inlineStr">
        <is>
          <t>toby-whan</t>
        </is>
      </c>
      <c r="B419" s="2" t="inlineStr">
        <is>
          <t>Toby Whan</t>
        </is>
      </c>
      <c r="C419" s="2" t="inlineStr">
        <is>
          <t>Fremantle</t>
        </is>
      </c>
      <c r="D419" s="2" t="inlineStr">
        <is>
          <t>SF</t>
        </is>
      </c>
      <c r="E419" s="2" t="n">
        <v>19</v>
      </c>
      <c r="F419" s="2" t="inlineStr">
        <is>
          <t>Post-Draft - Next Gen (pool)</t>
        </is>
      </c>
      <c r="G419" s="3" t="n">
        <v>77</v>
      </c>
      <c r="H419" s="3" t="n">
        <v>77</v>
      </c>
      <c r="I419" s="3">
        <f>H419-G419</f>
        <v/>
      </c>
      <c r="J419" s="4">
        <f>IF(G419=0,"",(H419-G419)/G419)</f>
        <v/>
      </c>
      <c r="K419" s="4">
        <f>IF(G419=0,"",(H419-G419*0.891738)/(G419*0.891738))</f>
        <v/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>
        <f>SUM(L419:P419)-I419</f>
        <v/>
      </c>
    </row>
    <row r="420">
      <c r="A420" s="2" t="inlineStr">
        <is>
          <t>jesse-mellor</t>
        </is>
      </c>
      <c r="B420" s="2" t="inlineStr">
        <is>
          <t>Jesse Mellor</t>
        </is>
      </c>
      <c r="C420" s="2" t="inlineStr">
        <is>
          <t>Geelong</t>
        </is>
      </c>
      <c r="D420" s="2" t="inlineStr">
        <is>
          <t>MID</t>
        </is>
      </c>
      <c r="E420" s="2" t="n">
        <v>19</v>
      </c>
      <c r="F420" s="2" t="inlineStr">
        <is>
          <t>Post-Draft - Next Gen (pool)</t>
        </is>
      </c>
      <c r="G420" s="3" t="n">
        <v>77</v>
      </c>
      <c r="H420" s="3" t="n">
        <v>77</v>
      </c>
      <c r="I420" s="3">
        <f>H420-G420</f>
        <v/>
      </c>
      <c r="J420" s="4">
        <f>IF(G420=0,"",(H420-G420)/G420)</f>
        <v/>
      </c>
      <c r="K420" s="4">
        <f>IF(G420=0,"",(H420-G420*0.891738)/(G420*0.891738))</f>
        <v/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>
        <f>SUM(L420:P420)-I420</f>
        <v/>
      </c>
    </row>
    <row r="421">
      <c r="A421" s="2" t="inlineStr">
        <is>
          <t>zac-walker</t>
        </is>
      </c>
      <c r="B421" s="2" t="inlineStr">
        <is>
          <t>Zac Walker</t>
        </is>
      </c>
      <c r="C421" s="2" t="inlineStr">
        <is>
          <t>Western Bulldogs</t>
        </is>
      </c>
      <c r="D421" s="2" t="inlineStr">
        <is>
          <t>SD</t>
        </is>
      </c>
      <c r="E421" s="2" t="n">
        <v>20</v>
      </c>
      <c r="F421" s="2" t="inlineStr">
        <is>
          <t>Mid-Season pick 11</t>
        </is>
      </c>
      <c r="G421" s="3" t="n">
        <v>128</v>
      </c>
      <c r="H421" s="3" t="n">
        <v>128</v>
      </c>
      <c r="I421" s="3">
        <f>H421-G421</f>
        <v/>
      </c>
      <c r="J421" s="4">
        <f>IF(G421=0,"",(H421-G421)/G421)</f>
        <v/>
      </c>
      <c r="K421" s="4">
        <f>IF(G421=0,"",(H421-G421*0.891738)/(G421*0.891738))</f>
        <v/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>
        <f>SUM(L421:P421)-I421</f>
        <v/>
      </c>
    </row>
    <row r="422">
      <c r="A422" s="2" t="inlineStr">
        <is>
          <t>noah-howes</t>
        </is>
      </c>
      <c r="B422" s="2" t="inlineStr">
        <is>
          <t>Noah Howes</t>
        </is>
      </c>
      <c r="C422" s="2" t="inlineStr">
        <is>
          <t>Collingwood</t>
        </is>
      </c>
      <c r="D422" s="2" t="inlineStr">
        <is>
          <t>KPF</t>
        </is>
      </c>
      <c r="E422" s="2" t="n">
        <v>21</v>
      </c>
      <c r="F422" s="2" t="inlineStr">
        <is>
          <t>Mid-Season pick 14</t>
        </is>
      </c>
      <c r="G422" s="3" t="n">
        <v>128</v>
      </c>
      <c r="H422" s="3" t="n">
        <v>128</v>
      </c>
      <c r="I422" s="3">
        <f>H422-G422</f>
        <v/>
      </c>
      <c r="J422" s="4">
        <f>IF(G422=0,"",(H422-G422)/G422)</f>
        <v/>
      </c>
      <c r="K422" s="4">
        <f>IF(G422=0,"",(H422-G422*0.891738)/(G422*0.891738))</f>
        <v/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>
        <f>SUM(L422:P422)-I422</f>
        <v/>
      </c>
    </row>
    <row r="423">
      <c r="A423" s="2" t="inlineStr">
        <is>
          <t>vigo-visentini</t>
        </is>
      </c>
      <c r="B423" s="2" t="inlineStr">
        <is>
          <t>Vigo Visentini</t>
        </is>
      </c>
      <c r="C423" s="2" t="inlineStr">
        <is>
          <t>Essendon</t>
        </is>
      </c>
      <c r="D423" s="2" t="inlineStr">
        <is>
          <t>RUCK</t>
        </is>
      </c>
      <c r="E423" s="2" t="n">
        <v>21</v>
      </c>
      <c r="F423" s="2" t="inlineStr">
        <is>
          <t>Rookie pick 5</t>
        </is>
      </c>
      <c r="G423" s="3" t="n">
        <v>167</v>
      </c>
      <c r="H423" s="3" t="n">
        <v>167</v>
      </c>
      <c r="I423" s="3">
        <f>H423-G423</f>
        <v/>
      </c>
      <c r="J423" s="4">
        <f>IF(G423=0,"",(H423-G423)/G423)</f>
        <v/>
      </c>
      <c r="K423" s="4">
        <f>IF(G423=0,"",(H423-G423*0.891738)/(G423*0.891738))</f>
        <v/>
      </c>
      <c r="L423" s="3" t="n">
        <v>0</v>
      </c>
      <c r="M423" s="3" t="n">
        <v>0</v>
      </c>
      <c r="N423" s="3" t="n">
        <v>0</v>
      </c>
      <c r="O423" s="3" t="n">
        <v>0</v>
      </c>
      <c r="P423" s="3" t="n">
        <v>0</v>
      </c>
      <c r="Q423" s="3">
        <f>SUM(L423:P423)-I423</f>
        <v/>
      </c>
    </row>
    <row r="424">
      <c r="A424" s="2" t="inlineStr">
        <is>
          <t>ben-murphy</t>
        </is>
      </c>
      <c r="B424" s="2" t="inlineStr">
        <is>
          <t>Ben Murphy</t>
        </is>
      </c>
      <c r="C424" s="2" t="inlineStr">
        <is>
          <t>Brisbane</t>
        </is>
      </c>
      <c r="D424" s="2" t="inlineStr">
        <is>
          <t>SD</t>
        </is>
      </c>
      <c r="E424" s="2" t="n">
        <v>19</v>
      </c>
      <c r="F424" s="2" t="inlineStr">
        <is>
          <t>Post-Draft - Ireland (pool)</t>
        </is>
      </c>
      <c r="G424" s="3" t="n">
        <v>84</v>
      </c>
      <c r="H424" s="3" t="n">
        <v>84</v>
      </c>
      <c r="I424" s="3">
        <f>H424-G424</f>
        <v/>
      </c>
      <c r="J424" s="4">
        <f>IF(G424=0,"",(H424-G424)/G424)</f>
        <v/>
      </c>
      <c r="K424" s="4">
        <f>IF(G424=0,"",(H424-G424*0.891738)/(G424*0.891738))</f>
        <v/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>
        <f>SUM(L424:P424)-I424</f>
        <v/>
      </c>
    </row>
    <row r="425">
      <c r="A425" s="2" t="inlineStr">
        <is>
          <t>kobe-mcdonald</t>
        </is>
      </c>
      <c r="B425" s="2" t="inlineStr">
        <is>
          <t>Kobe McDonald</t>
        </is>
      </c>
      <c r="C425" s="2" t="inlineStr">
        <is>
          <t>St Kilda</t>
        </is>
      </c>
      <c r="D425" s="2" t="inlineStr">
        <is>
          <t>SD</t>
        </is>
      </c>
      <c r="E425" s="2" t="n">
        <v>19</v>
      </c>
      <c r="F425" s="2" t="inlineStr">
        <is>
          <t>Post-Draft - Ireland (pool)</t>
        </is>
      </c>
      <c r="G425" s="3" t="n">
        <v>84</v>
      </c>
      <c r="H425" s="3" t="n">
        <v>84</v>
      </c>
      <c r="I425" s="3">
        <f>H425-G425</f>
        <v/>
      </c>
      <c r="J425" s="4">
        <f>IF(G425=0,"",(H425-G425)/G425)</f>
        <v/>
      </c>
      <c r="K425" s="4">
        <f>IF(G425=0,"",(H425-G425*0.891738)/(G425*0.891738))</f>
        <v/>
      </c>
      <c r="L425" s="3" t="n">
        <v>0</v>
      </c>
      <c r="M425" s="3" t="n">
        <v>0</v>
      </c>
      <c r="N425" s="3" t="n">
        <v>0</v>
      </c>
      <c r="O425" s="3" t="n">
        <v>0</v>
      </c>
      <c r="P425" s="3" t="n">
        <v>0</v>
      </c>
      <c r="Q425" s="3">
        <f>SUM(L425:P425)-I425</f>
        <v/>
      </c>
    </row>
    <row r="426">
      <c r="A426" s="2" t="inlineStr">
        <is>
          <t>indy-cotton</t>
        </is>
      </c>
      <c r="B426" s="2" t="inlineStr">
        <is>
          <t>Indy Cotton</t>
        </is>
      </c>
      <c r="C426" s="2" t="inlineStr">
        <is>
          <t>Adelaide</t>
        </is>
      </c>
      <c r="D426" s="2" t="inlineStr">
        <is>
          <t>SD</t>
        </is>
      </c>
      <c r="E426" s="2" t="n">
        <v>19</v>
      </c>
      <c r="F426" s="2" t="inlineStr">
        <is>
          <t>Post-Draft - Unregistered (pool)</t>
        </is>
      </c>
      <c r="G426" s="3" t="n">
        <v>65</v>
      </c>
      <c r="H426" s="3" t="n">
        <v>65</v>
      </c>
      <c r="I426" s="3">
        <f>H426-G426</f>
        <v/>
      </c>
      <c r="J426" s="4">
        <f>IF(G426=0,"",(H426-G426)/G426)</f>
        <v/>
      </c>
      <c r="K426" s="4">
        <f>IF(G426=0,"",(H426-G426*0.891738)/(G426*0.891738))</f>
        <v/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>
        <f>SUM(L426:P426)-I426</f>
        <v/>
      </c>
    </row>
    <row r="427">
      <c r="A427" s="2" t="inlineStr">
        <is>
          <t>oscar-berry</t>
        </is>
      </c>
      <c r="B427" s="2" t="inlineStr">
        <is>
          <t>Oscar Berry</t>
        </is>
      </c>
      <c r="C427" s="2" t="inlineStr">
        <is>
          <t>Melbourne</t>
        </is>
      </c>
      <c r="D427" s="2" t="inlineStr">
        <is>
          <t>KPD</t>
        </is>
      </c>
      <c r="E427" s="2" t="n">
        <v>24</v>
      </c>
      <c r="F427" s="2" t="inlineStr">
        <is>
          <t>Post-Draft - Unregistered (pool)</t>
        </is>
      </c>
      <c r="G427" s="3" t="n">
        <v>72</v>
      </c>
      <c r="H427" s="3" t="n">
        <v>72</v>
      </c>
      <c r="I427" s="3">
        <f>H427-G427</f>
        <v/>
      </c>
      <c r="J427" s="4">
        <f>IF(G427=0,"",(H427-G427)/G427)</f>
        <v/>
      </c>
      <c r="K427" s="4">
        <f>IF(G427=0,"",(H427-G427*0.891738)/(G427*0.891738))</f>
        <v/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>
        <f>SUM(L427:P427)-I427</f>
        <v/>
      </c>
    </row>
    <row r="428">
      <c r="A428" s="2" t="inlineStr">
        <is>
          <t>patrick-carr</t>
        </is>
      </c>
      <c r="B428" s="2" t="inlineStr">
        <is>
          <t>Patrick Carr</t>
        </is>
      </c>
      <c r="C428" s="2" t="inlineStr">
        <is>
          <t>Richmond</t>
        </is>
      </c>
      <c r="D428" s="2" t="inlineStr">
        <is>
          <t>RUCK</t>
        </is>
      </c>
      <c r="E428" s="2" t="n">
        <v>21</v>
      </c>
      <c r="F428" s="2" t="inlineStr">
        <is>
          <t>Post-Draft - Unregistered (pool)</t>
        </is>
      </c>
      <c r="G428" s="3" t="n">
        <v>85</v>
      </c>
      <c r="H428" s="3" t="n">
        <v>85</v>
      </c>
      <c r="I428" s="3">
        <f>H428-G428</f>
        <v/>
      </c>
      <c r="J428" s="4">
        <f>IF(G428=0,"",(H428-G428)/G428)</f>
        <v/>
      </c>
      <c r="K428" s="4">
        <f>IF(G428=0,"",(H428-G428*0.891738)/(G428*0.891738))</f>
        <v/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>
        <f>SUM(L428:P428)-I428</f>
        <v/>
      </c>
    </row>
    <row r="429">
      <c r="A429" s="2" t="inlineStr">
        <is>
          <t>cillian-bourke</t>
        </is>
      </c>
      <c r="B429" s="2" t="inlineStr">
        <is>
          <t>Cillian Bourke</t>
        </is>
      </c>
      <c r="C429" s="2" t="inlineStr">
        <is>
          <t>Essendon</t>
        </is>
      </c>
      <c r="D429" s="2" t="inlineStr">
        <is>
          <t>SD</t>
        </is>
      </c>
      <c r="E429" s="2" t="n">
        <v>20</v>
      </c>
      <c r="F429" s="2" t="inlineStr">
        <is>
          <t>Post-Draft - Ireland (pool)</t>
        </is>
      </c>
      <c r="G429" s="3" t="n">
        <v>84</v>
      </c>
      <c r="H429" s="3" t="n">
        <v>84</v>
      </c>
      <c r="I429" s="3">
        <f>H429-G429</f>
        <v/>
      </c>
      <c r="J429" s="4">
        <f>IF(G429=0,"",(H429-G429)/G429)</f>
        <v/>
      </c>
      <c r="K429" s="4">
        <f>IF(G429=0,"",(H429-G429*0.891738)/(G429*0.891738))</f>
        <v/>
      </c>
      <c r="L429" s="3" t="n">
        <v>0</v>
      </c>
      <c r="M429" s="3" t="n">
        <v>0</v>
      </c>
      <c r="N429" s="3" t="n">
        <v>0</v>
      </c>
      <c r="O429" s="3" t="n">
        <v>0</v>
      </c>
      <c r="P429" s="3" t="n">
        <v>0</v>
      </c>
      <c r="Q429" s="3">
        <f>SUM(L429:P429)-I429</f>
        <v/>
      </c>
    </row>
    <row r="430">
      <c r="A430" s="2" t="inlineStr">
        <is>
          <t>fred-rodriguez</t>
        </is>
      </c>
      <c r="B430" s="2" t="inlineStr">
        <is>
          <t>Fred Rodriguez</t>
        </is>
      </c>
      <c r="C430" s="2" t="inlineStr">
        <is>
          <t>West Coast</t>
        </is>
      </c>
      <c r="D430" s="2" t="inlineStr">
        <is>
          <t>MID</t>
        </is>
      </c>
      <c r="E430" s="2" t="n">
        <v>19</v>
      </c>
      <c r="F430" s="2" t="inlineStr">
        <is>
          <t>Rookie pick 1</t>
        </is>
      </c>
      <c r="G430" s="3" t="n">
        <v>184</v>
      </c>
      <c r="H430" s="3" t="n">
        <v>184</v>
      </c>
      <c r="I430" s="3">
        <f>H430-G430</f>
        <v/>
      </c>
      <c r="J430" s="4">
        <f>IF(G430=0,"",(H430-G430)/G430)</f>
        <v/>
      </c>
      <c r="K430" s="4">
        <f>IF(G430=0,"",(H430-G430*0.891738)/(G430*0.891738))</f>
        <v/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>
        <f>SUM(L430:P430)-I430</f>
        <v/>
      </c>
    </row>
    <row r="431">
      <c r="A431" s="2" t="inlineStr">
        <is>
          <t>riley-onley</t>
        </is>
      </c>
      <c r="B431" s="2" t="inlineStr">
        <is>
          <t>Riley Onley</t>
        </is>
      </c>
      <c r="C431" s="2" t="inlineStr">
        <is>
          <t>Melbourne</t>
        </is>
      </c>
      <c r="D431" s="2" t="inlineStr">
        <is>
          <t>MID</t>
        </is>
      </c>
      <c r="E431" s="2" t="n">
        <v>19</v>
      </c>
      <c r="F431" s="2" t="inlineStr">
        <is>
          <t>Rookie pick 2</t>
        </is>
      </c>
      <c r="G431" s="3" t="n">
        <v>184</v>
      </c>
      <c r="H431" s="3" t="n">
        <v>184</v>
      </c>
      <c r="I431" s="3">
        <f>H431-G431</f>
        <v/>
      </c>
      <c r="J431" s="4">
        <f>IF(G431=0,"",(H431-G431)/G431)</f>
        <v/>
      </c>
      <c r="K431" s="4">
        <f>IF(G431=0,"",(H431-G431*0.891738)/(G431*0.891738))</f>
        <v/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0</v>
      </c>
      <c r="Q431" s="3">
        <f>SUM(L431:P431)-I431</f>
        <v/>
      </c>
    </row>
    <row r="432">
      <c r="A432" s="2" t="inlineStr">
        <is>
          <t>leon-kickett</t>
        </is>
      </c>
      <c r="B432" s="2" t="inlineStr">
        <is>
          <t>Leon Kickett</t>
        </is>
      </c>
      <c r="C432" s="2" t="inlineStr">
        <is>
          <t>Fremantle</t>
        </is>
      </c>
      <c r="D432" s="2" t="inlineStr">
        <is>
          <t>SF</t>
        </is>
      </c>
      <c r="E432" s="2" t="n">
        <v>20</v>
      </c>
      <c r="F432" s="2" t="inlineStr">
        <is>
          <t>Rookie pick 4</t>
        </is>
      </c>
      <c r="G432" s="3" t="n">
        <v>145</v>
      </c>
      <c r="H432" s="3" t="n">
        <v>145</v>
      </c>
      <c r="I432" s="3">
        <f>H432-G432</f>
        <v/>
      </c>
      <c r="J432" s="4">
        <f>IF(G432=0,"",(H432-G432)/G432)</f>
        <v/>
      </c>
      <c r="K432" s="4">
        <f>IF(G432=0,"",(H432-G432*0.891738)/(G432*0.891738))</f>
        <v/>
      </c>
      <c r="L432" s="3" t="n">
        <v>0</v>
      </c>
      <c r="M432" s="3" t="n">
        <v>0</v>
      </c>
      <c r="N432" s="3" t="n">
        <v>0</v>
      </c>
      <c r="O432" s="3" t="n">
        <v>0</v>
      </c>
      <c r="P432" s="3" t="n">
        <v>0</v>
      </c>
      <c r="Q432" s="3">
        <f>SUM(L432:P432)-I432</f>
        <v/>
      </c>
    </row>
    <row r="433">
      <c r="A433" s="2" t="inlineStr">
        <is>
          <t>nick-driscoll</t>
        </is>
      </c>
      <c r="B433" s="2" t="inlineStr">
        <is>
          <t>Nick Driscoll</t>
        </is>
      </c>
      <c r="C433" s="2" t="inlineStr">
        <is>
          <t>Geelong</t>
        </is>
      </c>
      <c r="D433" s="2" t="inlineStr">
        <is>
          <t>MID</t>
        </is>
      </c>
      <c r="E433" s="2" t="n">
        <v>19</v>
      </c>
      <c r="F433" s="2" t="inlineStr">
        <is>
          <t>Rookie pick 6</t>
        </is>
      </c>
      <c r="G433" s="3" t="n">
        <v>184</v>
      </c>
      <c r="H433" s="3" t="n">
        <v>184</v>
      </c>
      <c r="I433" s="3">
        <f>H433-G433</f>
        <v/>
      </c>
      <c r="J433" s="4">
        <f>IF(G433=0,"",(H433-G433)/G433)</f>
        <v/>
      </c>
      <c r="K433" s="4">
        <f>IF(G433=0,"",(H433-G433*0.891738)/(G433*0.891738))</f>
        <v/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>
        <f>SUM(L433:P433)-I433</f>
        <v/>
      </c>
    </row>
    <row r="434">
      <c r="A434" s="2" t="inlineStr">
        <is>
          <t>isaac-quaynor</t>
        </is>
      </c>
      <c r="B434" s="2" t="inlineStr">
        <is>
          <t>Isaac Quaynor</t>
        </is>
      </c>
      <c r="C434" s="2" t="inlineStr">
        <is>
          <t>Collingwood</t>
        </is>
      </c>
      <c r="D434" s="2" t="inlineStr">
        <is>
          <t>SD</t>
        </is>
      </c>
      <c r="E434" s="2" t="n">
        <v>26</v>
      </c>
      <c r="F434" s="2" t="inlineStr">
        <is>
          <t>National pick 13</t>
        </is>
      </c>
      <c r="G434" s="3" t="n">
        <v>634</v>
      </c>
      <c r="H434" s="3" t="n">
        <v>558</v>
      </c>
      <c r="I434" s="3">
        <f>H434-G434</f>
        <v/>
      </c>
      <c r="J434" s="4">
        <f>IF(G434=0,"",(H434-G434)/G434)</f>
        <v/>
      </c>
      <c r="K434" s="4">
        <f>IF(G434=0,"",(H434-G434*0.891738)/(G434*0.891738))</f>
        <v/>
      </c>
      <c r="L434" s="3" t="n">
        <v>-9</v>
      </c>
      <c r="M434" s="3" t="n">
        <v>0</v>
      </c>
      <c r="N434" s="3" t="n">
        <v>-67</v>
      </c>
      <c r="O434" s="3" t="n">
        <v>0</v>
      </c>
      <c r="P434" s="3" t="n">
        <v>0</v>
      </c>
      <c r="Q434" s="3">
        <f>SUM(L434:P434)-I434</f>
        <v/>
      </c>
    </row>
    <row r="435">
      <c r="A435" s="2" t="inlineStr">
        <is>
          <t>anthony-caminiti</t>
        </is>
      </c>
      <c r="B435" s="2" t="inlineStr">
        <is>
          <t>Anthony Caminiti</t>
        </is>
      </c>
      <c r="C435" s="2" t="inlineStr">
        <is>
          <t>St Kilda</t>
        </is>
      </c>
      <c r="D435" s="2" t="inlineStr">
        <is>
          <t>KPF</t>
        </is>
      </c>
      <c r="E435" s="2" t="n">
        <v>23</v>
      </c>
      <c r="F435" s="2" t="inlineStr">
        <is>
          <t>SSP (pool)</t>
        </is>
      </c>
      <c r="G435" s="3" t="n">
        <v>974</v>
      </c>
      <c r="H435" s="3" t="n">
        <v>850</v>
      </c>
      <c r="I435" s="3">
        <f>H435-G435</f>
        <v/>
      </c>
      <c r="J435" s="4">
        <f>IF(G435=0,"",(H435-G435)/G435)</f>
        <v/>
      </c>
      <c r="K435" s="4">
        <f>IF(G435=0,"",(H435-G435*0.891738)/(G435*0.891738))</f>
        <v/>
      </c>
      <c r="L435" s="3" t="n">
        <v>-20</v>
      </c>
      <c r="M435" s="3" t="n">
        <v>0</v>
      </c>
      <c r="N435" s="3" t="n">
        <v>-104</v>
      </c>
      <c r="O435" s="3" t="n">
        <v>0</v>
      </c>
      <c r="P435" s="3" t="n">
        <v>0</v>
      </c>
      <c r="Q435" s="3">
        <f>SUM(L435:P435)-I435</f>
        <v/>
      </c>
    </row>
    <row r="436">
      <c r="A436" s="2" t="inlineStr">
        <is>
          <t>matthew-flynn</t>
        </is>
      </c>
      <c r="B436" s="2" t="inlineStr">
        <is>
          <t>Matthew Flynn</t>
        </is>
      </c>
      <c r="C436" s="2" t="inlineStr">
        <is>
          <t>West Coast</t>
        </is>
      </c>
      <c r="D436" s="2" t="inlineStr">
        <is>
          <t>RUCK</t>
        </is>
      </c>
      <c r="E436" s="2" t="n">
        <v>29</v>
      </c>
      <c r="F436" s="2" t="inlineStr">
        <is>
          <t>National pick 41</t>
        </is>
      </c>
      <c r="G436" s="3" t="n">
        <v>538</v>
      </c>
      <c r="H436" s="3" t="n">
        <v>459</v>
      </c>
      <c r="I436" s="3">
        <f>H436-G436</f>
        <v/>
      </c>
      <c r="J436" s="4">
        <f>IF(G436=0,"",(H436-G436)/G436)</f>
        <v/>
      </c>
      <c r="K436" s="4">
        <f>IF(G436=0,"",(H436-G436*0.891738)/(G436*0.891738))</f>
        <v/>
      </c>
      <c r="L436" s="3" t="n">
        <v>-23</v>
      </c>
      <c r="M436" s="3" t="n">
        <v>0</v>
      </c>
      <c r="N436" s="3" t="n">
        <v>-56</v>
      </c>
      <c r="O436" s="3" t="n">
        <v>0</v>
      </c>
      <c r="P436" s="3" t="n">
        <v>0</v>
      </c>
      <c r="Q436" s="3">
        <f>SUM(L436:P436)-I436</f>
        <v/>
      </c>
    </row>
    <row r="437">
      <c r="A437" s="2" t="inlineStr">
        <is>
          <t>milan-murdock</t>
        </is>
      </c>
      <c r="B437" s="2" t="inlineStr">
        <is>
          <t>Milan Murdock</t>
        </is>
      </c>
      <c r="C437" s="2" t="inlineStr">
        <is>
          <t>West Coast</t>
        </is>
      </c>
      <c r="D437" s="2" t="inlineStr">
        <is>
          <t>SF</t>
        </is>
      </c>
      <c r="E437" s="2" t="n">
        <v>26</v>
      </c>
      <c r="F437" s="2" t="inlineStr">
        <is>
          <t>SSP (pool)</t>
        </is>
      </c>
      <c r="G437" s="3" t="n">
        <v>346</v>
      </c>
      <c r="H437" s="3" t="n">
        <v>293</v>
      </c>
      <c r="I437" s="3">
        <f>H437-G437</f>
        <v/>
      </c>
      <c r="J437" s="4">
        <f>IF(G437=0,"",(H437-G437)/G437)</f>
        <v/>
      </c>
      <c r="K437" s="4">
        <f>IF(G437=0,"",(H437-G437*0.891738)/(G437*0.891738))</f>
        <v/>
      </c>
      <c r="L437" s="3" t="n">
        <v>-17</v>
      </c>
      <c r="M437" s="3" t="n">
        <v>0</v>
      </c>
      <c r="N437" s="3" t="n">
        <v>-36</v>
      </c>
      <c r="O437" s="3" t="n">
        <v>0</v>
      </c>
      <c r="P437" s="3" t="n">
        <v>0</v>
      </c>
      <c r="Q437" s="3">
        <f>SUM(L437:P437)-I437</f>
        <v/>
      </c>
    </row>
    <row r="438">
      <c r="A438" s="2" t="inlineStr">
        <is>
          <t>logan-smith</t>
        </is>
      </c>
      <c r="B438" s="2" t="inlineStr">
        <is>
          <t>Logan Smith</t>
        </is>
      </c>
      <c r="C438" s="2" t="inlineStr">
        <is>
          <t>GWS</t>
        </is>
      </c>
      <c r="D438" s="2" t="inlineStr">
        <is>
          <t>RUCK</t>
        </is>
      </c>
      <c r="E438" s="2" t="n">
        <v>20</v>
      </c>
      <c r="F438" s="2" t="inlineStr">
        <is>
          <t>National pick 71</t>
        </is>
      </c>
      <c r="G438" s="3" t="n">
        <v>116</v>
      </c>
      <c r="H438" s="3" t="n">
        <v>114</v>
      </c>
      <c r="I438" s="3">
        <f>H438-G438</f>
        <v/>
      </c>
      <c r="J438" s="4">
        <f>IF(G438=0,"",(H438-G438)/G438)</f>
        <v/>
      </c>
      <c r="K438" s="4">
        <f>IF(G438=0,"",(H438-G438*0.891738)/(G438*0.891738))</f>
        <v/>
      </c>
      <c r="L438" s="3" t="n">
        <v>0</v>
      </c>
      <c r="M438" s="3" t="n">
        <v>0</v>
      </c>
      <c r="N438" s="3" t="n">
        <v>-2</v>
      </c>
      <c r="O438" s="3" t="n">
        <v>0</v>
      </c>
      <c r="P438" s="3" t="n">
        <v>0</v>
      </c>
      <c r="Q438" s="3">
        <f>SUM(L438:P438)-I438</f>
        <v/>
      </c>
    </row>
    <row r="439">
      <c r="A439" s="2" t="inlineStr">
        <is>
          <t>jacob-moss</t>
        </is>
      </c>
      <c r="B439" s="2" t="inlineStr">
        <is>
          <t>Jacob Moss</t>
        </is>
      </c>
      <c r="C439" s="2" t="inlineStr">
        <is>
          <t>Port Adelaide</t>
        </is>
      </c>
      <c r="D439" s="2" t="inlineStr">
        <is>
          <t>KPF</t>
        </is>
      </c>
      <c r="E439" s="2" t="n">
        <v>22</v>
      </c>
      <c r="F439" s="2" t="inlineStr">
        <is>
          <t>Post-Draft - Unregistered (pool)</t>
        </is>
      </c>
      <c r="G439" s="3" t="n">
        <v>47</v>
      </c>
      <c r="H439" s="3" t="n">
        <v>47</v>
      </c>
      <c r="I439" s="3">
        <f>H439-G439</f>
        <v/>
      </c>
      <c r="J439" s="4">
        <f>IF(G439=0,"",(H439-G439)/G439)</f>
        <v/>
      </c>
      <c r="K439" s="4">
        <f>IF(G439=0,"",(H439-G439*0.891738)/(G439*0.891738))</f>
        <v/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>
        <f>SUM(L439:P439)-I439</f>
        <v/>
      </c>
    </row>
    <row r="440">
      <c r="A440" s="2" t="inlineStr">
        <is>
          <t>jaime-uhr-henry</t>
        </is>
      </c>
      <c r="B440" s="2" t="inlineStr">
        <is>
          <t>Jaime Uhr-Henry</t>
        </is>
      </c>
      <c r="C440" s="2" t="inlineStr">
        <is>
          <t>Hawthorn</t>
        </is>
      </c>
      <c r="D440" s="2" t="inlineStr">
        <is>
          <t>RUCK</t>
        </is>
      </c>
      <c r="E440" s="2" t="n">
        <v>23</v>
      </c>
      <c r="F440" s="2" t="inlineStr">
        <is>
          <t>Post-Draft - Unregistered (pool)</t>
        </is>
      </c>
      <c r="G440" s="3" t="n">
        <v>65</v>
      </c>
      <c r="H440" s="3" t="n">
        <v>65</v>
      </c>
      <c r="I440" s="3">
        <f>H440-G440</f>
        <v/>
      </c>
      <c r="J440" s="4">
        <f>IF(G440=0,"",(H440-G440)/G440)</f>
        <v/>
      </c>
      <c r="K440" s="4">
        <f>IF(G440=0,"",(H440-G440*0.891738)/(G440*0.891738))</f>
        <v/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>
        <f>SUM(L440:P440)-I440</f>
        <v/>
      </c>
    </row>
    <row r="441">
      <c r="A441" s="2" t="inlineStr">
        <is>
          <t>iliro-smit</t>
        </is>
      </c>
      <c r="B441" s="2" t="inlineStr">
        <is>
          <t>Iliro Smit</t>
        </is>
      </c>
      <c r="C441" s="2" t="inlineStr">
        <is>
          <t>Collingwood</t>
        </is>
      </c>
      <c r="D441" s="2" t="inlineStr">
        <is>
          <t>RUCK</t>
        </is>
      </c>
      <c r="E441" s="2" t="n">
        <v>21</v>
      </c>
      <c r="F441" s="2" t="inlineStr">
        <is>
          <t>Mid-Season pick 10</t>
        </is>
      </c>
      <c r="G441" s="3" t="n">
        <v>170</v>
      </c>
      <c r="H441" s="3" t="n">
        <v>170</v>
      </c>
      <c r="I441" s="3">
        <f>H441-G441</f>
        <v/>
      </c>
      <c r="J441" s="4">
        <f>IF(G441=0,"",(H441-G441)/G441)</f>
        <v/>
      </c>
      <c r="K441" s="4">
        <f>IF(G441=0,"",(H441-G441*0.891738)/(G441*0.891738))</f>
        <v/>
      </c>
      <c r="L441" s="3" t="n">
        <v>0</v>
      </c>
      <c r="M441" s="3" t="n">
        <v>0</v>
      </c>
      <c r="N441" s="3" t="n">
        <v>0</v>
      </c>
      <c r="O441" s="3" t="n">
        <v>0</v>
      </c>
      <c r="P441" s="3" t="n">
        <v>0</v>
      </c>
      <c r="Q441" s="3">
        <f>SUM(L441:P441)-I441</f>
        <v/>
      </c>
    </row>
    <row r="442">
      <c r="A442" s="2" t="inlineStr">
        <is>
          <t>mason-wood</t>
        </is>
      </c>
      <c r="B442" s="2" t="inlineStr">
        <is>
          <t>Mason Wood</t>
        </is>
      </c>
      <c r="C442" s="2" t="inlineStr">
        <is>
          <t>St Kilda</t>
        </is>
      </c>
      <c r="D442" s="2" t="inlineStr">
        <is>
          <t>SF</t>
        </is>
      </c>
      <c r="E442" s="2" t="n">
        <v>33</v>
      </c>
      <c r="F442" s="2" t="inlineStr">
        <is>
          <t>National pick 44</t>
        </is>
      </c>
      <c r="G442" s="3" t="n">
        <v>387</v>
      </c>
      <c r="H442" s="3" t="n">
        <v>340</v>
      </c>
      <c r="I442" s="3">
        <f>H442-G442</f>
        <v/>
      </c>
      <c r="J442" s="4">
        <f>IF(G442=0,"",(H442-G442)/G442)</f>
        <v/>
      </c>
      <c r="K442" s="4">
        <f>IF(G442=0,"",(H442-G442*0.891738)/(G442*0.891738))</f>
        <v/>
      </c>
      <c r="L442" s="3" t="n">
        <v>-5</v>
      </c>
      <c r="M442" s="3" t="n">
        <v>0</v>
      </c>
      <c r="N442" s="3" t="n">
        <v>-42</v>
      </c>
      <c r="O442" s="3" t="n">
        <v>0</v>
      </c>
      <c r="P442" s="3" t="n">
        <v>0</v>
      </c>
      <c r="Q442" s="3">
        <f>SUM(L442:P442)-I442</f>
        <v/>
      </c>
    </row>
    <row r="443">
      <c r="A443" s="2" t="inlineStr">
        <is>
          <t>aiden-riddle</t>
        </is>
      </c>
      <c r="B443" s="2" t="inlineStr">
        <is>
          <t>Aiden Riddle</t>
        </is>
      </c>
      <c r="C443" s="2" t="inlineStr">
        <is>
          <t>Fremantle</t>
        </is>
      </c>
      <c r="D443" s="2" t="inlineStr">
        <is>
          <t>RUCK</t>
        </is>
      </c>
      <c r="E443" s="2" t="n">
        <v>21</v>
      </c>
      <c r="F443" s="2" t="inlineStr">
        <is>
          <t>Rookie pick 2</t>
        </is>
      </c>
      <c r="G443" s="3" t="n">
        <v>177</v>
      </c>
      <c r="H443" s="3" t="n">
        <v>177</v>
      </c>
      <c r="I443" s="3">
        <f>H443-G443</f>
        <v/>
      </c>
      <c r="J443" s="4">
        <f>IF(G443=0,"",(H443-G443)/G443)</f>
        <v/>
      </c>
      <c r="K443" s="4">
        <f>IF(G443=0,"",(H443-G443*0.891738)/(G443*0.891738))</f>
        <v/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>
        <f>SUM(L443:P443)-I443</f>
        <v/>
      </c>
    </row>
    <row r="444">
      <c r="A444" s="2" t="inlineStr">
        <is>
          <t>joe-pike</t>
        </is>
      </c>
      <c r="B444" s="2" t="inlineStr">
        <is>
          <t>Joe Pike</t>
        </is>
      </c>
      <c r="C444" s="2" t="inlineStr">
        <is>
          <t>Geelong</t>
        </is>
      </c>
      <c r="D444" s="2" t="inlineStr">
        <is>
          <t>RUCK</t>
        </is>
      </c>
      <c r="E444" s="2" t="n">
        <v>21</v>
      </c>
      <c r="F444" s="2" t="inlineStr">
        <is>
          <t>Rookie pick 9</t>
        </is>
      </c>
      <c r="G444" s="3" t="n">
        <v>177</v>
      </c>
      <c r="H444" s="3" t="n">
        <v>177</v>
      </c>
      <c r="I444" s="3">
        <f>H444-G444</f>
        <v/>
      </c>
      <c r="J444" s="4">
        <f>IF(G444=0,"",(H444-G444)/G444)</f>
        <v/>
      </c>
      <c r="K444" s="4">
        <f>IF(G444=0,"",(H444-G444*0.891738)/(G444*0.891738))</f>
        <v/>
      </c>
      <c r="L444" s="3" t="n">
        <v>0</v>
      </c>
      <c r="M444" s="3" t="n">
        <v>0</v>
      </c>
      <c r="N444" s="3" t="n">
        <v>0</v>
      </c>
      <c r="O444" s="3" t="n">
        <v>0</v>
      </c>
      <c r="P444" s="3" t="n">
        <v>0</v>
      </c>
      <c r="Q444" s="3">
        <f>SUM(L444:P444)-I444</f>
        <v/>
      </c>
    </row>
    <row r="445">
      <c r="A445" s="2" t="inlineStr">
        <is>
          <t>oliver-francou</t>
        </is>
      </c>
      <c r="B445" s="2" t="inlineStr">
        <is>
          <t>Oliver Francou</t>
        </is>
      </c>
      <c r="C445" s="2" t="inlineStr">
        <is>
          <t>West Coast</t>
        </is>
      </c>
      <c r="D445" s="2" t="inlineStr">
        <is>
          <t>MID</t>
        </is>
      </c>
      <c r="E445" s="2" t="n">
        <v>20</v>
      </c>
      <c r="F445" s="2" t="inlineStr">
        <is>
          <t>Mid-Season pick 3</t>
        </is>
      </c>
      <c r="G445" s="3" t="n">
        <v>425</v>
      </c>
      <c r="H445" s="3" t="n">
        <v>251</v>
      </c>
      <c r="I445" s="3">
        <f>H445-G445</f>
        <v/>
      </c>
      <c r="J445" s="4">
        <f>IF(G445=0,"",(H445-G445)/G445)</f>
        <v/>
      </c>
      <c r="K445" s="4">
        <f>IF(G445=0,"",(H445-G445*0.891738)/(G445*0.891738))</f>
        <v/>
      </c>
      <c r="L445" s="3" t="n">
        <v>-125</v>
      </c>
      <c r="M445" s="3" t="n">
        <v>0</v>
      </c>
      <c r="N445" s="3" t="n">
        <v>-26</v>
      </c>
      <c r="O445" s="3" t="n">
        <v>-16</v>
      </c>
      <c r="P445" s="3" t="n">
        <v>-7</v>
      </c>
      <c r="Q445" s="3">
        <f>SUM(L445:P445)-I445</f>
        <v/>
      </c>
    </row>
    <row r="446">
      <c r="A446" s="2" t="inlineStr">
        <is>
          <t>scott-pendlebury</t>
        </is>
      </c>
      <c r="B446" s="2" t="inlineStr">
        <is>
          <t>Scott Pendlebury</t>
        </is>
      </c>
      <c r="C446" s="2" t="inlineStr">
        <is>
          <t>Collingwood</t>
        </is>
      </c>
      <c r="D446" s="2" t="inlineStr">
        <is>
          <t>MID</t>
        </is>
      </c>
      <c r="E446" s="2" t="n">
        <v>39</v>
      </c>
      <c r="F446" s="2" t="inlineStr">
        <is>
          <t>National pick 5</t>
        </is>
      </c>
      <c r="G446" s="3" t="n">
        <v>359</v>
      </c>
      <c r="H446" s="3" t="n">
        <v>315</v>
      </c>
      <c r="I446" s="3">
        <f>H446-G446</f>
        <v/>
      </c>
      <c r="J446" s="4">
        <f>IF(G446=0,"",(H446-G446)/G446)</f>
        <v/>
      </c>
      <c r="K446" s="4">
        <f>IF(G446=0,"",(H446-G446*0.891738)/(G446*0.891738))</f>
        <v/>
      </c>
      <c r="L446" s="3" t="n">
        <v>-6</v>
      </c>
      <c r="M446" s="3" t="n">
        <v>0</v>
      </c>
      <c r="N446" s="3" t="n">
        <v>-38</v>
      </c>
      <c r="O446" s="3" t="n">
        <v>0</v>
      </c>
      <c r="P446" s="3" t="n">
        <v>0</v>
      </c>
      <c r="Q446" s="3">
        <f>SUM(L446:P446)-I446</f>
        <v/>
      </c>
    </row>
    <row r="447">
      <c r="A447" s="2" t="inlineStr">
        <is>
          <t>darcy-moore</t>
        </is>
      </c>
      <c r="B447" s="2" t="inlineStr">
        <is>
          <t>Darcy Moore</t>
        </is>
      </c>
      <c r="C447" s="2" t="inlineStr">
        <is>
          <t>Collingwood</t>
        </is>
      </c>
      <c r="D447" s="2" t="inlineStr">
        <is>
          <t>KPD</t>
        </is>
      </c>
      <c r="E447" s="2" t="n">
        <v>30</v>
      </c>
      <c r="F447" s="2" t="inlineStr">
        <is>
          <t>National pick 8</t>
        </is>
      </c>
      <c r="G447" s="3" t="n">
        <v>146</v>
      </c>
      <c r="H447" s="3" t="n">
        <v>129</v>
      </c>
      <c r="I447" s="3">
        <f>H447-G447</f>
        <v/>
      </c>
      <c r="J447" s="4">
        <f>IF(G447=0,"",(H447-G447)/G447)</f>
        <v/>
      </c>
      <c r="K447" s="4">
        <f>IF(G447=0,"",(H447-G447*0.891738)/(G447*0.891738))</f>
        <v/>
      </c>
      <c r="L447" s="3" t="n">
        <v>-2</v>
      </c>
      <c r="M447" s="3" t="n">
        <v>0</v>
      </c>
      <c r="N447" s="3" t="n">
        <v>-15</v>
      </c>
      <c r="O447" s="3" t="n">
        <v>0</v>
      </c>
      <c r="P447" s="3" t="n">
        <v>0</v>
      </c>
      <c r="Q447" s="3">
        <f>SUM(L447:P447)-I447</f>
        <v/>
      </c>
    </row>
    <row r="448">
      <c r="A448" s="2" t="inlineStr">
        <is>
          <t>mitchell-lewis</t>
        </is>
      </c>
      <c r="B448" s="2" t="inlineStr">
        <is>
          <t>Mitchell Lewis</t>
        </is>
      </c>
      <c r="C448" s="2" t="inlineStr">
        <is>
          <t>Hawthorn</t>
        </is>
      </c>
      <c r="D448" s="2" t="inlineStr">
        <is>
          <t>KPF</t>
        </is>
      </c>
      <c r="E448" s="2" t="n">
        <v>28</v>
      </c>
      <c r="F448" s="2" t="inlineStr">
        <is>
          <t>National pick 75</t>
        </is>
      </c>
      <c r="G448" s="3" t="n">
        <v>540</v>
      </c>
      <c r="H448" s="3" t="n">
        <v>470</v>
      </c>
      <c r="I448" s="3">
        <f>H448-G448</f>
        <v/>
      </c>
      <c r="J448" s="4">
        <f>IF(G448=0,"",(H448-G448)/G448)</f>
        <v/>
      </c>
      <c r="K448" s="4">
        <f>IF(G448=0,"",(H448-G448*0.891738)/(G448*0.891738))</f>
        <v/>
      </c>
      <c r="L448" s="3" t="n">
        <v>-11</v>
      </c>
      <c r="M448" s="3" t="n">
        <v>-2</v>
      </c>
      <c r="N448" s="3" t="n">
        <v>-57</v>
      </c>
      <c r="O448" s="3" t="n">
        <v>0</v>
      </c>
      <c r="P448" s="3" t="n">
        <v>0</v>
      </c>
      <c r="Q448" s="3">
        <f>SUM(L448:P448)-I448</f>
        <v/>
      </c>
    </row>
    <row r="449">
      <c r="A449" s="2" t="inlineStr">
        <is>
          <t>xavier-walsh</t>
        </is>
      </c>
      <c r="B449" s="2" t="inlineStr">
        <is>
          <t>Xavier Walsh</t>
        </is>
      </c>
      <c r="C449" s="2" t="inlineStr">
        <is>
          <t>Port Adelaide</t>
        </is>
      </c>
      <c r="D449" s="2" t="inlineStr">
        <is>
          <t>KPD</t>
        </is>
      </c>
      <c r="E449" s="2" t="n">
        <v>21</v>
      </c>
      <c r="F449" s="2" t="inlineStr">
        <is>
          <t>Rookie pick 6</t>
        </is>
      </c>
      <c r="G449" s="3" t="n">
        <v>108</v>
      </c>
      <c r="H449" s="3" t="n">
        <v>108</v>
      </c>
      <c r="I449" s="3">
        <f>H449-G449</f>
        <v/>
      </c>
      <c r="J449" s="4">
        <f>IF(G449=0,"",(H449-G449)/G449)</f>
        <v/>
      </c>
      <c r="K449" s="4">
        <f>IF(G449=0,"",(H449-G449*0.891738)/(G449*0.891738))</f>
        <v/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>
        <f>SUM(L449:P449)-I449</f>
        <v/>
      </c>
    </row>
    <row r="450">
      <c r="A450" s="2" t="inlineStr">
        <is>
          <t>will-darcy</t>
        </is>
      </c>
      <c r="B450" s="2" t="inlineStr">
        <is>
          <t>Will Darcy</t>
        </is>
      </c>
      <c r="C450" s="2" t="inlineStr">
        <is>
          <t>Western Bulldogs</t>
        </is>
      </c>
      <c r="D450" s="2" t="inlineStr">
        <is>
          <t>KPD</t>
        </is>
      </c>
      <c r="E450" s="2" t="n">
        <v>19</v>
      </c>
      <c r="F450" s="2" t="inlineStr">
        <is>
          <t>National pick 58</t>
        </is>
      </c>
      <c r="G450" s="3" t="n">
        <v>193</v>
      </c>
      <c r="H450" s="3" t="n">
        <v>165</v>
      </c>
      <c r="I450" s="3">
        <f>H450-G450</f>
        <v/>
      </c>
      <c r="J450" s="4">
        <f>IF(G450=0,"",(H450-G450)/G450)</f>
        <v/>
      </c>
      <c r="K450" s="4">
        <f>IF(G450=0,"",(H450-G450*0.891738)/(G450*0.891738))</f>
        <v/>
      </c>
      <c r="L450" s="3" t="n">
        <v>0</v>
      </c>
      <c r="M450" s="3" t="n">
        <v>0</v>
      </c>
      <c r="N450" s="3" t="n">
        <v>-28</v>
      </c>
      <c r="O450" s="3" t="n">
        <v>0</v>
      </c>
      <c r="P450" s="3" t="n">
        <v>0</v>
      </c>
      <c r="Q450" s="3">
        <f>SUM(L450:P450)-I450</f>
        <v/>
      </c>
    </row>
    <row r="451">
      <c r="A451" s="2" t="inlineStr">
        <is>
          <t>matthew-kennedy-1</t>
        </is>
      </c>
      <c r="B451" s="2" t="inlineStr">
        <is>
          <t>Matthew Kennedy</t>
        </is>
      </c>
      <c r="C451" s="2" t="inlineStr">
        <is>
          <t>Western Bulldogs</t>
        </is>
      </c>
      <c r="D451" s="2" t="inlineStr">
        <is>
          <t>MID</t>
        </is>
      </c>
      <c r="E451" s="2" t="n">
        <v>29</v>
      </c>
      <c r="F451" s="2" t="inlineStr">
        <is>
          <t>National pick 13</t>
        </is>
      </c>
      <c r="G451" s="3" t="n">
        <v>469</v>
      </c>
      <c r="H451" s="3" t="n">
        <v>413</v>
      </c>
      <c r="I451" s="3">
        <f>H451-G451</f>
        <v/>
      </c>
      <c r="J451" s="4">
        <f>IF(G451=0,"",(H451-G451)/G451)</f>
        <v/>
      </c>
      <c r="K451" s="4">
        <f>IF(G451=0,"",(H451-G451*0.891738)/(G451*0.891738))</f>
        <v/>
      </c>
      <c r="L451" s="3" t="n">
        <v>-6</v>
      </c>
      <c r="M451" s="3" t="n">
        <v>0</v>
      </c>
      <c r="N451" s="3" t="n">
        <v>-50</v>
      </c>
      <c r="O451" s="3" t="n">
        <v>0</v>
      </c>
      <c r="P451" s="3" t="n">
        <v>0</v>
      </c>
      <c r="Q451" s="3">
        <f>SUM(L451:P451)-I451</f>
        <v/>
      </c>
    </row>
    <row r="452">
      <c r="A452" s="2" t="inlineStr">
        <is>
          <t>sam-clohesy</t>
        </is>
      </c>
      <c r="B452" s="2" t="inlineStr">
        <is>
          <t>Sam Clohesy</t>
        </is>
      </c>
      <c r="C452" s="2" t="inlineStr">
        <is>
          <t>Gold Coast</t>
        </is>
      </c>
      <c r="D452" s="2" t="inlineStr">
        <is>
          <t>MID</t>
        </is>
      </c>
      <c r="E452" s="2" t="n">
        <v>24</v>
      </c>
      <c r="F452" s="2" t="inlineStr">
        <is>
          <t>Rookie pick 3</t>
        </is>
      </c>
      <c r="G452" s="3" t="n">
        <v>207</v>
      </c>
      <c r="H452" s="3" t="n">
        <v>175</v>
      </c>
      <c r="I452" s="3">
        <f>H452-G452</f>
        <v/>
      </c>
      <c r="J452" s="4">
        <f>IF(G452=0,"",(H452-G452)/G452)</f>
        <v/>
      </c>
      <c r="K452" s="4">
        <f>IF(G452=0,"",(H452-G452*0.891738)/(G452*0.891738))</f>
        <v/>
      </c>
      <c r="L452" s="3" t="n">
        <v>-11</v>
      </c>
      <c r="M452" s="3" t="n">
        <v>0</v>
      </c>
      <c r="N452" s="3" t="n">
        <v>-21</v>
      </c>
      <c r="O452" s="3" t="n">
        <v>0</v>
      </c>
      <c r="P452" s="3" t="n">
        <v>0</v>
      </c>
      <c r="Q452" s="3">
        <f>SUM(L452:P452)-I452</f>
        <v/>
      </c>
    </row>
    <row r="453">
      <c r="A453" s="2" t="inlineStr">
        <is>
          <t>charlie-comben</t>
        </is>
      </c>
      <c r="B453" s="2" t="inlineStr">
        <is>
          <t>Charlie Comben</t>
        </is>
      </c>
      <c r="C453" s="2" t="inlineStr">
        <is>
          <t>North Melbourne</t>
        </is>
      </c>
      <c r="D453" s="2" t="inlineStr">
        <is>
          <t>KPD</t>
        </is>
      </c>
      <c r="E453" s="2" t="n">
        <v>25</v>
      </c>
      <c r="F453" s="2" t="inlineStr">
        <is>
          <t>National pick 31</t>
        </is>
      </c>
      <c r="G453" s="3" t="n">
        <v>804</v>
      </c>
      <c r="H453" s="3" t="n">
        <v>707</v>
      </c>
      <c r="I453" s="3">
        <f>H453-G453</f>
        <v/>
      </c>
      <c r="J453" s="4">
        <f>IF(G453=0,"",(H453-G453)/G453)</f>
        <v/>
      </c>
      <c r="K453" s="4">
        <f>IF(G453=0,"",(H453-G453*0.891738)/(G453*0.891738))</f>
        <v/>
      </c>
      <c r="L453" s="3" t="n">
        <v>-12</v>
      </c>
      <c r="M453" s="3" t="n">
        <v>0</v>
      </c>
      <c r="N453" s="3" t="n">
        <v>-85</v>
      </c>
      <c r="O453" s="3" t="n">
        <v>0</v>
      </c>
      <c r="P453" s="3" t="n">
        <v>0</v>
      </c>
      <c r="Q453" s="3">
        <f>SUM(L453:P453)-I453</f>
        <v/>
      </c>
    </row>
    <row r="454">
      <c r="A454" s="2" t="inlineStr">
        <is>
          <t>josh-lai</t>
        </is>
      </c>
      <c r="B454" s="2" t="inlineStr">
        <is>
          <t>Josh Lai</t>
        </is>
      </c>
      <c r="C454" s="2" t="inlineStr">
        <is>
          <t>Port Adelaide</t>
        </is>
      </c>
      <c r="D454" s="2" t="inlineStr">
        <is>
          <t>SD</t>
        </is>
      </c>
      <c r="E454" s="2" t="n">
        <v>21</v>
      </c>
      <c r="F454" s="2" t="inlineStr">
        <is>
          <t>SSP (pool)</t>
        </is>
      </c>
      <c r="G454" s="3" t="n">
        <v>513</v>
      </c>
      <c r="H454" s="3" t="n">
        <v>314</v>
      </c>
      <c r="I454" s="3">
        <f>H454-G454</f>
        <v/>
      </c>
      <c r="J454" s="4">
        <f>IF(G454=0,"",(H454-G454)/G454)</f>
        <v/>
      </c>
      <c r="K454" s="4">
        <f>IF(G454=0,"",(H454-G454*0.891738)/(G454*0.891738))</f>
        <v/>
      </c>
      <c r="L454" s="3" t="n">
        <v>-161</v>
      </c>
      <c r="M454" s="3" t="n">
        <v>0</v>
      </c>
      <c r="N454" s="3" t="n">
        <v>-38</v>
      </c>
      <c r="O454" s="3" t="n">
        <v>0</v>
      </c>
      <c r="P454" s="3" t="n">
        <v>0</v>
      </c>
      <c r="Q454" s="3">
        <f>SUM(L454:P454)-I454</f>
        <v/>
      </c>
    </row>
    <row r="455">
      <c r="A455" s="2" t="inlineStr">
        <is>
          <t>calsher-dear</t>
        </is>
      </c>
      <c r="B455" s="2" t="inlineStr">
        <is>
          <t>Calsher Dear</t>
        </is>
      </c>
      <c r="C455" s="2" t="inlineStr">
        <is>
          <t>Hawthorn</t>
        </is>
      </c>
      <c r="D455" s="2" t="inlineStr">
        <is>
          <t>KPF</t>
        </is>
      </c>
      <c r="E455" s="2" t="n">
        <v>21</v>
      </c>
      <c r="F455" s="2" t="inlineStr">
        <is>
          <t>National pick 56</t>
        </is>
      </c>
      <c r="G455" s="3" t="n">
        <v>956</v>
      </c>
      <c r="H455" s="3" t="n">
        <v>819</v>
      </c>
      <c r="I455" s="3">
        <f>H455-G455</f>
        <v/>
      </c>
      <c r="J455" s="4">
        <f>IF(G455=0,"",(H455-G455)/G455)</f>
        <v/>
      </c>
      <c r="K455" s="4">
        <f>IF(G455=0,"",(H455-G455*0.891738)/(G455*0.891738))</f>
        <v/>
      </c>
      <c r="L455" s="3" t="n">
        <v>-38</v>
      </c>
      <c r="M455" s="3" t="n">
        <v>0</v>
      </c>
      <c r="N455" s="3" t="n">
        <v>-99</v>
      </c>
      <c r="O455" s="3" t="n">
        <v>0</v>
      </c>
      <c r="P455" s="3" t="n">
        <v>0</v>
      </c>
      <c r="Q455" s="3">
        <f>SUM(L455:P455)-I455</f>
        <v/>
      </c>
    </row>
    <row r="456">
      <c r="A456" s="2" t="inlineStr">
        <is>
          <t>hugo-hall-kahan</t>
        </is>
      </c>
      <c r="B456" s="2" t="inlineStr">
        <is>
          <t>Hugo Hall-Kahan</t>
        </is>
      </c>
      <c r="C456" s="2" t="inlineStr">
        <is>
          <t>Adelaide</t>
        </is>
      </c>
      <c r="D456" s="2" t="inlineStr">
        <is>
          <t>SD</t>
        </is>
      </c>
      <c r="E456" s="2" t="n">
        <v>23</v>
      </c>
      <c r="F456" s="2" t="inlineStr">
        <is>
          <t>Mid-Season pick 10</t>
        </is>
      </c>
      <c r="G456" s="3" t="n">
        <v>171</v>
      </c>
      <c r="H456" s="3" t="n">
        <v>114</v>
      </c>
      <c r="I456" s="3">
        <f>H456-G456</f>
        <v/>
      </c>
      <c r="J456" s="4">
        <f>IF(G456=0,"",(H456-G456)/G456)</f>
        <v/>
      </c>
      <c r="K456" s="4">
        <f>IF(G456=0,"",(H456-G456*0.891738)/(G456*0.891738))</f>
        <v/>
      </c>
      <c r="L456" s="3" t="n">
        <v>-43</v>
      </c>
      <c r="M456" s="3" t="n">
        <v>0</v>
      </c>
      <c r="N456" s="3" t="n">
        <v>-14</v>
      </c>
      <c r="O456" s="3" t="n">
        <v>0</v>
      </c>
      <c r="P456" s="3" t="n">
        <v>0</v>
      </c>
      <c r="Q456" s="3">
        <f>SUM(L456:P456)-I456</f>
        <v/>
      </c>
    </row>
    <row r="457">
      <c r="A457" s="2" t="inlineStr">
        <is>
          <t>matt-hill</t>
        </is>
      </c>
      <c r="B457" s="2" t="inlineStr">
        <is>
          <t>Matt Hill</t>
        </is>
      </c>
      <c r="C457" s="2" t="inlineStr">
        <is>
          <t>Hawthorn</t>
        </is>
      </c>
      <c r="D457" s="2" t="inlineStr">
        <is>
          <t>SF</t>
        </is>
      </c>
      <c r="E457" s="2" t="n">
        <v>22</v>
      </c>
      <c r="F457" s="2" t="inlineStr">
        <is>
          <t>Post-Draft - Unregistered (pool)</t>
        </is>
      </c>
      <c r="G457" s="3" t="n">
        <v>55</v>
      </c>
      <c r="H457" s="3" t="n">
        <v>41</v>
      </c>
      <c r="I457" s="3">
        <f>H457-G457</f>
        <v/>
      </c>
      <c r="J457" s="4">
        <f>IF(G457=0,"",(H457-G457)/G457)</f>
        <v/>
      </c>
      <c r="K457" s="4">
        <f>IF(G457=0,"",(H457-G457*0.891738)/(G457*0.891738))</f>
        <v/>
      </c>
      <c r="L457" s="3" t="n">
        <v>-11</v>
      </c>
      <c r="M457" s="3" t="n">
        <v>0</v>
      </c>
      <c r="N457" s="3" t="n">
        <v>-3</v>
      </c>
      <c r="O457" s="3" t="n">
        <v>1</v>
      </c>
      <c r="P457" s="3" t="n">
        <v>-1</v>
      </c>
      <c r="Q457" s="3">
        <f>SUM(L457:P457)-I457</f>
        <v/>
      </c>
    </row>
    <row r="458">
      <c r="A458" s="2" t="inlineStr">
        <is>
          <t>tyler-welsh</t>
        </is>
      </c>
      <c r="B458" s="2" t="inlineStr">
        <is>
          <t>Tyler Welsh</t>
        </is>
      </c>
      <c r="C458" s="2" t="inlineStr">
        <is>
          <t>Adelaide</t>
        </is>
      </c>
      <c r="D458" s="2" t="inlineStr">
        <is>
          <t>KPF</t>
        </is>
      </c>
      <c r="E458" s="2" t="n">
        <v>20</v>
      </c>
      <c r="F458" s="2" t="inlineStr">
        <is>
          <t>National pick 59</t>
        </is>
      </c>
      <c r="G458" s="3" t="n">
        <v>83</v>
      </c>
      <c r="H458" s="3" t="n">
        <v>71</v>
      </c>
      <c r="I458" s="3">
        <f>H458-G458</f>
        <v/>
      </c>
      <c r="J458" s="4">
        <f>IF(G458=0,"",(H458-G458)/G458)</f>
        <v/>
      </c>
      <c r="K458" s="4">
        <f>IF(G458=0,"",(H458-G458*0.891738)/(G458*0.891738))</f>
        <v/>
      </c>
      <c r="L458" s="3" t="n">
        <v>0</v>
      </c>
      <c r="M458" s="3" t="n">
        <v>0</v>
      </c>
      <c r="N458" s="3" t="n">
        <v>-12</v>
      </c>
      <c r="O458" s="3" t="n">
        <v>0</v>
      </c>
      <c r="P458" s="3" t="n">
        <v>0</v>
      </c>
      <c r="Q458" s="3">
        <f>SUM(L458:P458)-I458</f>
        <v/>
      </c>
    </row>
    <row r="459">
      <c r="A459" s="2" t="inlineStr">
        <is>
          <t>bruce-reville</t>
        </is>
      </c>
      <c r="B459" s="2" t="inlineStr">
        <is>
          <t>Bruce Reville</t>
        </is>
      </c>
      <c r="C459" s="2" t="inlineStr">
        <is>
          <t>Brisbane</t>
        </is>
      </c>
      <c r="D459" s="2" t="inlineStr">
        <is>
          <t>MID</t>
        </is>
      </c>
      <c r="E459" s="2" t="n">
        <v>25</v>
      </c>
      <c r="F459" s="2" t="inlineStr">
        <is>
          <t>Post-Draft - Academy (pool)</t>
        </is>
      </c>
      <c r="G459" s="3" t="n">
        <v>54</v>
      </c>
      <c r="H459" s="3" t="n">
        <v>54</v>
      </c>
      <c r="I459" s="3">
        <f>H459-G459</f>
        <v/>
      </c>
      <c r="J459" s="4">
        <f>IF(G459=0,"",(H459-G459)/G459)</f>
        <v/>
      </c>
      <c r="K459" s="4">
        <f>IF(G459=0,"",(H459-G459*0.891738)/(G459*0.891738))</f>
        <v/>
      </c>
      <c r="L459" s="3" t="n">
        <v>0</v>
      </c>
      <c r="M459" s="3" t="n">
        <v>0</v>
      </c>
      <c r="N459" s="3" t="n">
        <v>0</v>
      </c>
      <c r="O459" s="3" t="n">
        <v>0</v>
      </c>
      <c r="P459" s="3" t="n">
        <v>0</v>
      </c>
      <c r="Q459" s="3">
        <f>SUM(L459:P459)-I459</f>
        <v/>
      </c>
    </row>
    <row r="460">
      <c r="A460" s="2" t="inlineStr">
        <is>
          <t>josh-goater</t>
        </is>
      </c>
      <c r="B460" s="2" t="inlineStr">
        <is>
          <t>Josh Goater</t>
        </is>
      </c>
      <c r="C460" s="2" t="inlineStr">
        <is>
          <t>North Melbourne</t>
        </is>
      </c>
      <c r="D460" s="2" t="inlineStr">
        <is>
          <t>SD</t>
        </is>
      </c>
      <c r="E460" s="2" t="n">
        <v>23</v>
      </c>
      <c r="F460" s="2" t="inlineStr">
        <is>
          <t>National pick 22</t>
        </is>
      </c>
      <c r="G460" s="3" t="n">
        <v>93</v>
      </c>
      <c r="H460" s="3" t="n">
        <v>90</v>
      </c>
      <c r="I460" s="3">
        <f>H460-G460</f>
        <v/>
      </c>
      <c r="J460" s="4">
        <f>IF(G460=0,"",(H460-G460)/G460)</f>
        <v/>
      </c>
      <c r="K460" s="4">
        <f>IF(G460=0,"",(H460-G460*0.891738)/(G460*0.891738))</f>
        <v/>
      </c>
      <c r="L460" s="3" t="n">
        <v>0</v>
      </c>
      <c r="M460" s="3" t="n">
        <v>0</v>
      </c>
      <c r="N460" s="3" t="n">
        <v>-3</v>
      </c>
      <c r="O460" s="3" t="n">
        <v>0</v>
      </c>
      <c r="P460" s="3" t="n">
        <v>0</v>
      </c>
      <c r="Q460" s="3">
        <f>SUM(L460:P460)-I460</f>
        <v/>
      </c>
    </row>
    <row r="461">
      <c r="A461" s="2" t="inlineStr">
        <is>
          <t>joel-fitzgerald</t>
        </is>
      </c>
      <c r="B461" s="2" t="inlineStr">
        <is>
          <t>Joel Fitzgerald</t>
        </is>
      </c>
      <c r="C461" s="2" t="inlineStr">
        <is>
          <t>Melbourne</t>
        </is>
      </c>
      <c r="D461" s="2" t="inlineStr">
        <is>
          <t>MID</t>
        </is>
      </c>
      <c r="E461" s="2" t="n">
        <v>23</v>
      </c>
      <c r="F461" s="2" t="inlineStr">
        <is>
          <t>Mid-Season pick 16</t>
        </is>
      </c>
      <c r="G461" s="3" t="n">
        <v>67</v>
      </c>
      <c r="H461" s="3" t="n">
        <v>44</v>
      </c>
      <c r="I461" s="3">
        <f>H461-G461</f>
        <v/>
      </c>
      <c r="J461" s="4">
        <f>IF(G461=0,"",(H461-G461)/G461)</f>
        <v/>
      </c>
      <c r="K461" s="4">
        <f>IF(G461=0,"",(H461-G461*0.891738)/(G461*0.891738))</f>
        <v/>
      </c>
      <c r="L461" s="3" t="n">
        <v>-18</v>
      </c>
      <c r="M461" s="3" t="n">
        <v>0</v>
      </c>
      <c r="N461" s="3" t="n">
        <v>-5</v>
      </c>
      <c r="O461" s="3" t="n">
        <v>0</v>
      </c>
      <c r="P461" s="3" t="n">
        <v>0</v>
      </c>
      <c r="Q461" s="3">
        <f>SUM(L461:P461)-I461</f>
        <v/>
      </c>
    </row>
    <row r="462">
      <c r="A462" s="2" t="inlineStr">
        <is>
          <t>billy-dowling</t>
        </is>
      </c>
      <c r="B462" s="2" t="inlineStr">
        <is>
          <t>Billy Dowling</t>
        </is>
      </c>
      <c r="C462" s="2" t="inlineStr">
        <is>
          <t>Adelaide</t>
        </is>
      </c>
      <c r="D462" s="2" t="inlineStr">
        <is>
          <t>SF</t>
        </is>
      </c>
      <c r="E462" s="2" t="n">
        <v>22</v>
      </c>
      <c r="F462" s="2" t="inlineStr">
        <is>
          <t>National pick 43</t>
        </is>
      </c>
      <c r="G462" s="3" t="n">
        <v>219</v>
      </c>
      <c r="H462" s="3" t="n">
        <v>181</v>
      </c>
      <c r="I462" s="3">
        <f>H462-G462</f>
        <v/>
      </c>
      <c r="J462" s="4">
        <f>IF(G462=0,"",(H462-G462)/G462)</f>
        <v/>
      </c>
      <c r="K462" s="4">
        <f>IF(G462=0,"",(H462-G462*0.891738)/(G462*0.891738))</f>
        <v/>
      </c>
      <c r="L462" s="3" t="n">
        <v>-18</v>
      </c>
      <c r="M462" s="3" t="n">
        <v>0</v>
      </c>
      <c r="N462" s="3" t="n">
        <v>-20</v>
      </c>
      <c r="O462" s="3" t="n">
        <v>0</v>
      </c>
      <c r="P462" s="3" t="n">
        <v>0</v>
      </c>
      <c r="Q462" s="3">
        <f>SUM(L462:P462)-I462</f>
        <v/>
      </c>
    </row>
    <row r="463">
      <c r="A463" s="2" t="inlineStr">
        <is>
          <t>luke-beecken</t>
        </is>
      </c>
      <c r="B463" s="2" t="inlineStr">
        <is>
          <t>Luke Beecken</t>
        </is>
      </c>
      <c r="C463" s="2" t="inlineStr">
        <is>
          <t>Brisbane</t>
        </is>
      </c>
      <c r="D463" s="2" t="inlineStr">
        <is>
          <t>MID</t>
        </is>
      </c>
      <c r="E463" s="2" t="n">
        <v>25</v>
      </c>
      <c r="F463" s="2" t="inlineStr">
        <is>
          <t>Mid-Season pick 16</t>
        </is>
      </c>
      <c r="G463" s="3" t="n">
        <v>101</v>
      </c>
      <c r="H463" s="3" t="n">
        <v>101</v>
      </c>
      <c r="I463" s="3">
        <f>H463-G463</f>
        <v/>
      </c>
      <c r="J463" s="4">
        <f>IF(G463=0,"",(H463-G463)/G463)</f>
        <v/>
      </c>
      <c r="K463" s="4">
        <f>IF(G463=0,"",(H463-G463*0.891738)/(G463*0.891738))</f>
        <v/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>
        <f>SUM(L463:P463)-I463</f>
        <v/>
      </c>
    </row>
    <row r="464">
      <c r="A464" s="2" t="inlineStr">
        <is>
          <t>brayden-george</t>
        </is>
      </c>
      <c r="B464" s="2" t="inlineStr">
        <is>
          <t>Brayden George</t>
        </is>
      </c>
      <c r="C464" s="2" t="inlineStr">
        <is>
          <t>North Melbourne</t>
        </is>
      </c>
      <c r="D464" s="2" t="inlineStr">
        <is>
          <t>SF</t>
        </is>
      </c>
      <c r="E464" s="2" t="n">
        <v>22</v>
      </c>
      <c r="F464" s="2" t="inlineStr">
        <is>
          <t>National pick 26</t>
        </is>
      </c>
      <c r="G464" s="3" t="n">
        <v>234</v>
      </c>
      <c r="H464" s="3" t="n">
        <v>224</v>
      </c>
      <c r="I464" s="3">
        <f>H464-G464</f>
        <v/>
      </c>
      <c r="J464" s="4">
        <f>IF(G464=0,"",(H464-G464)/G464)</f>
        <v/>
      </c>
      <c r="K464" s="4">
        <f>IF(G464=0,"",(H464-G464*0.891738)/(G464*0.891738))</f>
        <v/>
      </c>
      <c r="L464" s="3" t="n">
        <v>0</v>
      </c>
      <c r="M464" s="3" t="n">
        <v>0</v>
      </c>
      <c r="N464" s="3" t="n">
        <v>-10</v>
      </c>
      <c r="O464" s="3" t="n">
        <v>0</v>
      </c>
      <c r="P464" s="3" t="n">
        <v>0</v>
      </c>
      <c r="Q464" s="3">
        <f>SUM(L464:P464)-I464</f>
        <v/>
      </c>
    </row>
    <row r="465">
      <c r="A465" s="2" t="inlineStr">
        <is>
          <t>zachary-williams</t>
        </is>
      </c>
      <c r="B465" s="2" t="inlineStr">
        <is>
          <t>Zachary Williams</t>
        </is>
      </c>
      <c r="C465" s="2" t="inlineStr">
        <is>
          <t>Carlton</t>
        </is>
      </c>
      <c r="D465" s="2" t="inlineStr">
        <is>
          <t>SF</t>
        </is>
      </c>
      <c r="E465" s="2" t="n">
        <v>32</v>
      </c>
      <c r="F465" s="2" t="inlineStr">
        <is>
          <t>Post-Draft - Academy (pool)</t>
        </is>
      </c>
      <c r="G465" s="3" t="n">
        <v>374</v>
      </c>
      <c r="H465" s="3" t="n">
        <v>329</v>
      </c>
      <c r="I465" s="3">
        <f>H465-G465</f>
        <v/>
      </c>
      <c r="J465" s="4">
        <f>IF(G465=0,"",(H465-G465)/G465)</f>
        <v/>
      </c>
      <c r="K465" s="4">
        <f>IF(G465=0,"",(H465-G465*0.891738)/(G465*0.891738))</f>
        <v/>
      </c>
      <c r="L465" s="3" t="n">
        <v>-5</v>
      </c>
      <c r="M465" s="3" t="n">
        <v>0</v>
      </c>
      <c r="N465" s="3" t="n">
        <v>-40</v>
      </c>
      <c r="O465" s="3" t="n">
        <v>0</v>
      </c>
      <c r="P465" s="3" t="n">
        <v>0</v>
      </c>
      <c r="Q465" s="3">
        <f>SUM(L465:P465)-I465</f>
        <v/>
      </c>
    </row>
    <row r="466">
      <c r="A466" s="2" t="inlineStr">
        <is>
          <t>brayden-fiorini</t>
        </is>
      </c>
      <c r="B466" s="2" t="inlineStr">
        <is>
          <t>Brayden Fiorini</t>
        </is>
      </c>
      <c r="C466" s="2" t="inlineStr">
        <is>
          <t>Essendon</t>
        </is>
      </c>
      <c r="D466" s="2" t="inlineStr">
        <is>
          <t>MID</t>
        </is>
      </c>
      <c r="E466" s="2" t="n">
        <v>29</v>
      </c>
      <c r="F466" s="2" t="inlineStr">
        <is>
          <t>National pick 20</t>
        </is>
      </c>
      <c r="G466" s="3" t="n">
        <v>177</v>
      </c>
      <c r="H466" s="3" t="n">
        <v>156</v>
      </c>
      <c r="I466" s="3">
        <f>H466-G466</f>
        <v/>
      </c>
      <c r="J466" s="4">
        <f>IF(G466=0,"",(H466-G466)/G466)</f>
        <v/>
      </c>
      <c r="K466" s="4">
        <f>IF(G466=0,"",(H466-G466*0.891738)/(G466*0.891738))</f>
        <v/>
      </c>
      <c r="L466" s="3" t="n">
        <v>-2</v>
      </c>
      <c r="M466" s="3" t="n">
        <v>0</v>
      </c>
      <c r="N466" s="3" t="n">
        <v>-19</v>
      </c>
      <c r="O466" s="3" t="n">
        <v>0</v>
      </c>
      <c r="P466" s="3" t="n">
        <v>0</v>
      </c>
      <c r="Q466" s="3">
        <f>SUM(L466:P466)-I466</f>
        <v/>
      </c>
    </row>
    <row r="467">
      <c r="A467" s="2" t="inlineStr">
        <is>
          <t>jakob-ryan</t>
        </is>
      </c>
      <c r="B467" s="2" t="inlineStr">
        <is>
          <t>Jakob Ryan</t>
        </is>
      </c>
      <c r="C467" s="2" t="inlineStr">
        <is>
          <t>Collingwood</t>
        </is>
      </c>
      <c r="D467" s="2" t="inlineStr">
        <is>
          <t>SD</t>
        </is>
      </c>
      <c r="E467" s="2" t="n">
        <v>22</v>
      </c>
      <c r="F467" s="2" t="inlineStr">
        <is>
          <t>National pick 28</t>
        </is>
      </c>
      <c r="G467" s="3" t="n">
        <v>239</v>
      </c>
      <c r="H467" s="3" t="n">
        <v>229</v>
      </c>
      <c r="I467" s="3">
        <f>H467-G467</f>
        <v/>
      </c>
      <c r="J467" s="4">
        <f>IF(G467=0,"",(H467-G467)/G467)</f>
        <v/>
      </c>
      <c r="K467" s="4">
        <f>IF(G467=0,"",(H467-G467*0.891738)/(G467*0.891738))</f>
        <v/>
      </c>
      <c r="L467" s="3" t="n">
        <v>0</v>
      </c>
      <c r="M467" s="3" t="n">
        <v>0</v>
      </c>
      <c r="N467" s="3" t="n">
        <v>-10</v>
      </c>
      <c r="O467" s="3" t="n">
        <v>0</v>
      </c>
      <c r="P467" s="3" t="n">
        <v>0</v>
      </c>
      <c r="Q467" s="3">
        <f>SUM(L467:P467)-I467</f>
        <v/>
      </c>
    </row>
    <row r="468">
      <c r="A468" s="2" t="inlineStr">
        <is>
          <t>james-worpel</t>
        </is>
      </c>
      <c r="B468" s="2" t="inlineStr">
        <is>
          <t>James Worpel</t>
        </is>
      </c>
      <c r="C468" s="2" t="inlineStr">
        <is>
          <t>Geelong</t>
        </is>
      </c>
      <c r="D468" s="2" t="inlineStr">
        <is>
          <t>MID</t>
        </is>
      </c>
      <c r="E468" s="2" t="n">
        <v>27</v>
      </c>
      <c r="F468" s="2" t="inlineStr">
        <is>
          <t>National pick 45</t>
        </is>
      </c>
      <c r="G468" s="3" t="n">
        <v>429</v>
      </c>
      <c r="H468" s="3" t="n">
        <v>376</v>
      </c>
      <c r="I468" s="3">
        <f>H468-G468</f>
        <v/>
      </c>
      <c r="J468" s="4">
        <f>IF(G468=0,"",(H468-G468)/G468)</f>
        <v/>
      </c>
      <c r="K468" s="4">
        <f>IF(G468=0,"",(H468-G468*0.891738)/(G468*0.891738))</f>
        <v/>
      </c>
      <c r="L468" s="3" t="n">
        <v>-7</v>
      </c>
      <c r="M468" s="3" t="n">
        <v>0</v>
      </c>
      <c r="N468" s="3" t="n">
        <v>-46</v>
      </c>
      <c r="O468" s="3" t="n">
        <v>0</v>
      </c>
      <c r="P468" s="3" t="n">
        <v>0</v>
      </c>
      <c r="Q468" s="3">
        <f>SUM(L468:P468)-I468</f>
        <v/>
      </c>
    </row>
    <row r="469">
      <c r="A469" s="2" t="inlineStr">
        <is>
          <t>brady-hough</t>
        </is>
      </c>
      <c r="B469" s="2" t="inlineStr">
        <is>
          <t>Brady Hough</t>
        </is>
      </c>
      <c r="C469" s="2" t="inlineStr">
        <is>
          <t>West Coast</t>
        </is>
      </c>
      <c r="D469" s="2" t="inlineStr">
        <is>
          <t>SD</t>
        </is>
      </c>
      <c r="E469" s="2" t="n">
        <v>23</v>
      </c>
      <c r="F469" s="2" t="inlineStr">
        <is>
          <t>National pick 31</t>
        </is>
      </c>
      <c r="G469" s="3" t="n">
        <v>290</v>
      </c>
      <c r="H469" s="3" t="n">
        <v>253</v>
      </c>
      <c r="I469" s="3">
        <f>H469-G469</f>
        <v/>
      </c>
      <c r="J469" s="4">
        <f>IF(G469=0,"",(H469-G469)/G469)</f>
        <v/>
      </c>
      <c r="K469" s="4">
        <f>IF(G469=0,"",(H469-G469*0.891738)/(G469*0.891738))</f>
        <v/>
      </c>
      <c r="L469" s="3" t="n">
        <v>-7</v>
      </c>
      <c r="M469" s="3" t="n">
        <v>0</v>
      </c>
      <c r="N469" s="3" t="n">
        <v>-30</v>
      </c>
      <c r="O469" s="3" t="n">
        <v>0</v>
      </c>
      <c r="P469" s="3" t="n">
        <v>0</v>
      </c>
      <c r="Q469" s="3">
        <f>SUM(L469:P469)-I469</f>
        <v/>
      </c>
    </row>
    <row r="470">
      <c r="A470" s="2" t="inlineStr">
        <is>
          <t>karl-amon</t>
        </is>
      </c>
      <c r="B470" s="2" t="inlineStr">
        <is>
          <t>Karl Amon</t>
        </is>
      </c>
      <c r="C470" s="2" t="inlineStr">
        <is>
          <t>Hawthorn</t>
        </is>
      </c>
      <c r="D470" s="2" t="inlineStr">
        <is>
          <t>SD</t>
        </is>
      </c>
      <c r="E470" s="2" t="n">
        <v>31</v>
      </c>
      <c r="F470" s="2" t="inlineStr">
        <is>
          <t>National pick 59</t>
        </is>
      </c>
      <c r="G470" s="3" t="n">
        <v>416</v>
      </c>
      <c r="H470" s="3" t="n">
        <v>366</v>
      </c>
      <c r="I470" s="3">
        <f>H470-G470</f>
        <v/>
      </c>
      <c r="J470" s="4">
        <f>IF(G470=0,"",(H470-G470)/G470)</f>
        <v/>
      </c>
      <c r="K470" s="4">
        <f>IF(G470=0,"",(H470-G470*0.891738)/(G470*0.891738))</f>
        <v/>
      </c>
      <c r="L470" s="3" t="n">
        <v>-6</v>
      </c>
      <c r="M470" s="3" t="n">
        <v>0</v>
      </c>
      <c r="N470" s="3" t="n">
        <v>-44</v>
      </c>
      <c r="O470" s="3" t="n">
        <v>0</v>
      </c>
      <c r="P470" s="3" t="n">
        <v>0</v>
      </c>
      <c r="Q470" s="3">
        <f>SUM(L470:P470)-I470</f>
        <v/>
      </c>
    </row>
    <row r="471">
      <c r="A471" s="2" t="inlineStr">
        <is>
          <t>michael-sellwood</t>
        </is>
      </c>
      <c r="B471" s="2" t="inlineStr">
        <is>
          <t>Michael Sellwood</t>
        </is>
      </c>
      <c r="C471" s="2" t="inlineStr">
        <is>
          <t>Western Bulldogs</t>
        </is>
      </c>
      <c r="D471" s="2" t="inlineStr">
        <is>
          <t>SD</t>
        </is>
      </c>
      <c r="E471" s="2" t="n">
        <v>23</v>
      </c>
      <c r="F471" s="2" t="inlineStr">
        <is>
          <t>Mid-Season pick 5</t>
        </is>
      </c>
      <c r="G471" s="3" t="n">
        <v>148</v>
      </c>
      <c r="H471" s="3" t="n">
        <v>128</v>
      </c>
      <c r="I471" s="3">
        <f>H471-G471</f>
        <v/>
      </c>
      <c r="J471" s="4">
        <f>IF(G471=0,"",(H471-G471)/G471)</f>
        <v/>
      </c>
      <c r="K471" s="4">
        <f>IF(G471=0,"",(H471-G471*0.891738)/(G471*0.891738))</f>
        <v/>
      </c>
      <c r="L471" s="3" t="n">
        <v>-20</v>
      </c>
      <c r="M471" s="3" t="n">
        <v>0</v>
      </c>
      <c r="N471" s="3" t="n">
        <v>0</v>
      </c>
      <c r="O471" s="3" t="n">
        <v>0</v>
      </c>
      <c r="P471" s="3" t="n">
        <v>0</v>
      </c>
      <c r="Q471" s="3">
        <f>SUM(L471:P471)-I471</f>
        <v/>
      </c>
    </row>
    <row r="472">
      <c r="A472" s="2" t="inlineStr">
        <is>
          <t>hussien-el-achkar</t>
        </is>
      </c>
      <c r="B472" s="2" t="inlineStr">
        <is>
          <t>Hussien El Achkar</t>
        </is>
      </c>
      <c r="C472" s="2" t="inlineStr">
        <is>
          <t>Essendon</t>
        </is>
      </c>
      <c r="D472" s="2" t="inlineStr">
        <is>
          <t>SF</t>
        </is>
      </c>
      <c r="E472" s="2" t="n">
        <v>19</v>
      </c>
      <c r="F472" s="2" t="inlineStr">
        <is>
          <t>National pick 53</t>
        </is>
      </c>
      <c r="G472" s="3" t="n">
        <v>444</v>
      </c>
      <c r="H472" s="3" t="n">
        <v>359</v>
      </c>
      <c r="I472" s="3">
        <f>H472-G472</f>
        <v/>
      </c>
      <c r="J472" s="4">
        <f>IF(G472=0,"",(H472-G472)/G472)</f>
        <v/>
      </c>
      <c r="K472" s="4">
        <f>IF(G472=0,"",(H472-G472*0.891738)/(G472*0.891738))</f>
        <v/>
      </c>
      <c r="L472" s="3" t="n">
        <v>-41</v>
      </c>
      <c r="M472" s="3" t="n">
        <v>0</v>
      </c>
      <c r="N472" s="3" t="n">
        <v>-44</v>
      </c>
      <c r="O472" s="3" t="n">
        <v>0</v>
      </c>
      <c r="P472" s="3" t="n">
        <v>0</v>
      </c>
      <c r="Q472" s="3">
        <f>SUM(L472:P472)-I472</f>
        <v/>
      </c>
    </row>
    <row r="473">
      <c r="A473" s="2" t="inlineStr">
        <is>
          <t>eamonn-armstrong</t>
        </is>
      </c>
      <c r="B473" s="2" t="inlineStr">
        <is>
          <t>Eamonn Armstrong</t>
        </is>
      </c>
      <c r="C473" s="2" t="inlineStr">
        <is>
          <t>St Kilda</t>
        </is>
      </c>
      <c r="D473" s="2" t="inlineStr">
        <is>
          <t>SD</t>
        </is>
      </c>
      <c r="E473" s="2" t="n">
        <v>20</v>
      </c>
      <c r="F473" s="2" t="inlineStr">
        <is>
          <t>Post-Draft - Ireland (pool)</t>
        </is>
      </c>
      <c r="G473" s="3" t="n">
        <v>55</v>
      </c>
      <c r="H473" s="3" t="n">
        <v>55</v>
      </c>
      <c r="I473" s="3">
        <f>H473-G473</f>
        <v/>
      </c>
      <c r="J473" s="4">
        <f>IF(G473=0,"",(H473-G473)/G473)</f>
        <v/>
      </c>
      <c r="K473" s="4">
        <f>IF(G473=0,"",(H473-G473*0.891738)/(G473*0.891738))</f>
        <v/>
      </c>
      <c r="L473" s="3" t="n">
        <v>0</v>
      </c>
      <c r="M473" s="3" t="n">
        <v>0</v>
      </c>
      <c r="N473" s="3" t="n">
        <v>0</v>
      </c>
      <c r="O473" s="3" t="n">
        <v>0</v>
      </c>
      <c r="P473" s="3" t="n">
        <v>0</v>
      </c>
      <c r="Q473" s="3">
        <f>SUM(L473:P473)-I473</f>
        <v/>
      </c>
    </row>
    <row r="474">
      <c r="A474" s="2" t="inlineStr">
        <is>
          <t>cillian-burke</t>
        </is>
      </c>
      <c r="B474" s="2" t="inlineStr">
        <is>
          <t>Cillian Burke</t>
        </is>
      </c>
      <c r="C474" s="2" t="inlineStr">
        <is>
          <t>Geelong</t>
        </is>
      </c>
      <c r="D474" s="2" t="inlineStr">
        <is>
          <t>SD</t>
        </is>
      </c>
      <c r="E474" s="2" t="n">
        <v>23</v>
      </c>
      <c r="F474" s="2" t="inlineStr">
        <is>
          <t>Post-Draft - Ireland (pool)</t>
        </is>
      </c>
      <c r="G474" s="3" t="n">
        <v>55</v>
      </c>
      <c r="H474" s="3" t="n">
        <v>55</v>
      </c>
      <c r="I474" s="3">
        <f>H474-G474</f>
        <v/>
      </c>
      <c r="J474" s="4">
        <f>IF(G474=0,"",(H474-G474)/G474)</f>
        <v/>
      </c>
      <c r="K474" s="4">
        <f>IF(G474=0,"",(H474-G474*0.891738)/(G474*0.891738))</f>
        <v/>
      </c>
      <c r="L474" s="3" t="n">
        <v>0</v>
      </c>
      <c r="M474" s="3" t="n">
        <v>0</v>
      </c>
      <c r="N474" s="3" t="n">
        <v>0</v>
      </c>
      <c r="O474" s="3" t="n">
        <v>0</v>
      </c>
      <c r="P474" s="3" t="n">
        <v>0</v>
      </c>
      <c r="Q474" s="3">
        <f>SUM(L474:P474)-I474</f>
        <v/>
      </c>
    </row>
    <row r="475">
      <c r="A475" s="2" t="inlineStr">
        <is>
          <t>matt-duffy</t>
        </is>
      </c>
      <c r="B475" s="2" t="inlineStr">
        <is>
          <t>Matt Duffy</t>
        </is>
      </c>
      <c r="C475" s="2" t="inlineStr">
        <is>
          <t>Carlton</t>
        </is>
      </c>
      <c r="D475" s="2" t="inlineStr">
        <is>
          <t>SD</t>
        </is>
      </c>
      <c r="E475" s="2" t="n">
        <v>22</v>
      </c>
      <c r="F475" s="2" t="inlineStr">
        <is>
          <t>Post-Draft - Ireland (pool)</t>
        </is>
      </c>
      <c r="G475" s="3" t="n">
        <v>55</v>
      </c>
      <c r="H475" s="3" t="n">
        <v>55</v>
      </c>
      <c r="I475" s="3">
        <f>H475-G475</f>
        <v/>
      </c>
      <c r="J475" s="4">
        <f>IF(G475=0,"",(H475-G475)/G475)</f>
        <v/>
      </c>
      <c r="K475" s="4">
        <f>IF(G475=0,"",(H475-G475*0.891738)/(G475*0.891738))</f>
        <v/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>
        <f>SUM(L475:P475)-I475</f>
        <v/>
      </c>
    </row>
    <row r="476">
      <c r="A476" s="2" t="inlineStr">
        <is>
          <t>zak-evans</t>
        </is>
      </c>
      <c r="B476" s="2" t="inlineStr">
        <is>
          <t>Zak Evans</t>
        </is>
      </c>
      <c r="C476" s="2" t="inlineStr">
        <is>
          <t>Gold Coast</t>
        </is>
      </c>
      <c r="D476" s="2" t="inlineStr">
        <is>
          <t>MID</t>
        </is>
      </c>
      <c r="E476" s="2" t="n">
        <v>26</v>
      </c>
      <c r="F476" s="2" t="inlineStr">
        <is>
          <t>Post-Draft - Unregistered (pool)</t>
        </is>
      </c>
      <c r="G476" s="3" t="n">
        <v>43</v>
      </c>
      <c r="H476" s="3" t="n">
        <v>43</v>
      </c>
      <c r="I476" s="3">
        <f>H476-G476</f>
        <v/>
      </c>
      <c r="J476" s="4">
        <f>IF(G476=0,"",(H476-G476)/G476)</f>
        <v/>
      </c>
      <c r="K476" s="4">
        <f>IF(G476=0,"",(H476-G476*0.891738)/(G476*0.891738))</f>
        <v/>
      </c>
      <c r="L476" s="3" t="n">
        <v>0</v>
      </c>
      <c r="M476" s="3" t="n">
        <v>0</v>
      </c>
      <c r="N476" s="3" t="n">
        <v>0</v>
      </c>
      <c r="O476" s="3" t="n">
        <v>0</v>
      </c>
      <c r="P476" s="3" t="n">
        <v>0</v>
      </c>
      <c r="Q476" s="3">
        <f>SUM(L476:P476)-I476</f>
        <v/>
      </c>
    </row>
    <row r="477">
      <c r="A477" s="2" t="inlineStr">
        <is>
          <t>ricky-mentha</t>
        </is>
      </c>
      <c r="B477" s="2" t="inlineStr">
        <is>
          <t>Ricky Mentha</t>
        </is>
      </c>
      <c r="C477" s="2" t="inlineStr">
        <is>
          <t>Melbourne</t>
        </is>
      </c>
      <c r="D477" s="2" t="inlineStr">
        <is>
          <t>SF</t>
        </is>
      </c>
      <c r="E477" s="2" t="n">
        <v>20</v>
      </c>
      <c r="F477" s="2" t="inlineStr">
        <is>
          <t>Post-Draft - Next Gen (pool)</t>
        </is>
      </c>
      <c r="G477" s="3" t="n">
        <v>51</v>
      </c>
      <c r="H477" s="3" t="n">
        <v>51</v>
      </c>
      <c r="I477" s="3">
        <f>H477-G477</f>
        <v/>
      </c>
      <c r="J477" s="4">
        <f>IF(G477=0,"",(H477-G477)/G477)</f>
        <v/>
      </c>
      <c r="K477" s="4">
        <f>IF(G477=0,"",(H477-G477*0.891738)/(G477*0.891738))</f>
        <v/>
      </c>
      <c r="L477" s="3" t="n">
        <v>0</v>
      </c>
      <c r="M477" s="3" t="n">
        <v>0</v>
      </c>
      <c r="N477" s="3" t="n">
        <v>0</v>
      </c>
      <c r="O477" s="3" t="n">
        <v>0</v>
      </c>
      <c r="P477" s="3" t="n">
        <v>0</v>
      </c>
      <c r="Q477" s="3">
        <f>SUM(L477:P477)-I477</f>
        <v/>
      </c>
    </row>
    <row r="478">
      <c r="A478" s="2" t="inlineStr">
        <is>
          <t>benny-barrett</t>
        </is>
      </c>
      <c r="B478" s="2" t="inlineStr">
        <is>
          <t>Benny Barrett</t>
        </is>
      </c>
      <c r="C478" s="2" t="inlineStr">
        <is>
          <t>Port Adelaide</t>
        </is>
      </c>
      <c r="D478" s="2" t="inlineStr">
        <is>
          <t>SF</t>
        </is>
      </c>
      <c r="E478" s="2" t="n">
        <v>20</v>
      </c>
      <c r="F478" s="2" t="inlineStr">
        <is>
          <t>Post-Draft - Next Gen (pool)</t>
        </is>
      </c>
      <c r="G478" s="3" t="n">
        <v>51</v>
      </c>
      <c r="H478" s="3" t="n">
        <v>51</v>
      </c>
      <c r="I478" s="3">
        <f>H478-G478</f>
        <v/>
      </c>
      <c r="J478" s="4">
        <f>IF(G478=0,"",(H478-G478)/G478)</f>
        <v/>
      </c>
      <c r="K478" s="4">
        <f>IF(G478=0,"",(H478-G478*0.891738)/(G478*0.891738))</f>
        <v/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>
        <f>SUM(L478:P478)-I478</f>
        <v/>
      </c>
    </row>
    <row r="479">
      <c r="A479" s="2" t="inlineStr">
        <is>
          <t>lennox-hoffman</t>
        </is>
      </c>
      <c r="B479" s="2" t="inlineStr">
        <is>
          <t>Lennox Hoffman</t>
        </is>
      </c>
      <c r="C479" s="2" t="inlineStr">
        <is>
          <t>Geelong</t>
        </is>
      </c>
      <c r="D479" s="2" t="inlineStr">
        <is>
          <t>SD</t>
        </is>
      </c>
      <c r="E479" s="2" t="n">
        <v>20</v>
      </c>
      <c r="F479" s="2" t="inlineStr">
        <is>
          <t>National pick 66</t>
        </is>
      </c>
      <c r="G479" s="3" t="n">
        <v>77</v>
      </c>
      <c r="H479" s="3" t="n">
        <v>76</v>
      </c>
      <c r="I479" s="3">
        <f>H479-G479</f>
        <v/>
      </c>
      <c r="J479" s="4">
        <f>IF(G479=0,"",(H479-G479)/G479)</f>
        <v/>
      </c>
      <c r="K479" s="4">
        <f>IF(G479=0,"",(H479-G479*0.891738)/(G479*0.891738))</f>
        <v/>
      </c>
      <c r="L479" s="3" t="n">
        <v>0</v>
      </c>
      <c r="M479" s="3" t="n">
        <v>0</v>
      </c>
      <c r="N479" s="3" t="n">
        <v>-1</v>
      </c>
      <c r="O479" s="3" t="n">
        <v>0</v>
      </c>
      <c r="P479" s="3" t="n">
        <v>0</v>
      </c>
      <c r="Q479" s="3">
        <f>SUM(L479:P479)-I479</f>
        <v/>
      </c>
    </row>
    <row r="480">
      <c r="A480" s="2" t="inlineStr">
        <is>
          <t>river-stevens</t>
        </is>
      </c>
      <c r="B480" s="2" t="inlineStr">
        <is>
          <t>River Stevens</t>
        </is>
      </c>
      <c r="C480" s="2" t="inlineStr">
        <is>
          <t>North Melbourne</t>
        </is>
      </c>
      <c r="D480" s="2" t="inlineStr">
        <is>
          <t>SF</t>
        </is>
      </c>
      <c r="E480" s="2" t="n">
        <v>20</v>
      </c>
      <c r="F480" s="2" t="inlineStr">
        <is>
          <t>National pick 67</t>
        </is>
      </c>
      <c r="G480" s="3" t="n">
        <v>77</v>
      </c>
      <c r="H480" s="3" t="n">
        <v>76</v>
      </c>
      <c r="I480" s="3">
        <f>H480-G480</f>
        <v/>
      </c>
      <c r="J480" s="4">
        <f>IF(G480=0,"",(H480-G480)/G480)</f>
        <v/>
      </c>
      <c r="K480" s="4">
        <f>IF(G480=0,"",(H480-G480*0.891738)/(G480*0.891738))</f>
        <v/>
      </c>
      <c r="L480" s="3" t="n">
        <v>0</v>
      </c>
      <c r="M480" s="3" t="n">
        <v>0</v>
      </c>
      <c r="N480" s="3" t="n">
        <v>-1</v>
      </c>
      <c r="O480" s="3" t="n">
        <v>0</v>
      </c>
      <c r="P480" s="3" t="n">
        <v>0</v>
      </c>
      <c r="Q480" s="3">
        <f>SUM(L480:P480)-I480</f>
        <v/>
      </c>
    </row>
    <row r="481">
      <c r="A481" s="2" t="inlineStr">
        <is>
          <t>keighton-matofai-forbes</t>
        </is>
      </c>
      <c r="B481" s="2" t="inlineStr">
        <is>
          <t>Keighton Matofai-Forbes</t>
        </is>
      </c>
      <c r="C481" s="2" t="inlineStr">
        <is>
          <t>Geelong</t>
        </is>
      </c>
      <c r="D481" s="2" t="inlineStr">
        <is>
          <t>SD</t>
        </is>
      </c>
      <c r="E481" s="2" t="n">
        <v>20</v>
      </c>
      <c r="F481" s="2" t="inlineStr">
        <is>
          <t>National pick 69</t>
        </is>
      </c>
      <c r="G481" s="3" t="n">
        <v>77</v>
      </c>
      <c r="H481" s="3" t="n">
        <v>76</v>
      </c>
      <c r="I481" s="3">
        <f>H481-G481</f>
        <v/>
      </c>
      <c r="J481" s="4">
        <f>IF(G481=0,"",(H481-G481)/G481)</f>
        <v/>
      </c>
      <c r="K481" s="4">
        <f>IF(G481=0,"",(H481-G481*0.891738)/(G481*0.891738))</f>
        <v/>
      </c>
      <c r="L481" s="3" t="n">
        <v>0</v>
      </c>
      <c r="M481" s="3" t="n">
        <v>0</v>
      </c>
      <c r="N481" s="3" t="n">
        <v>-1</v>
      </c>
      <c r="O481" s="3" t="n">
        <v>0</v>
      </c>
      <c r="P481" s="3" t="n">
        <v>0</v>
      </c>
      <c r="Q481" s="3">
        <f>SUM(L481:P481)-I481</f>
        <v/>
      </c>
    </row>
    <row r="482">
      <c r="A482" s="2" t="inlineStr">
        <is>
          <t>harry-charleson</t>
        </is>
      </c>
      <c r="B482" s="2" t="inlineStr">
        <is>
          <t>Harry Charleson</t>
        </is>
      </c>
      <c r="C482" s="2" t="inlineStr">
        <is>
          <t>Carlton</t>
        </is>
      </c>
      <c r="D482" s="2" t="inlineStr">
        <is>
          <t>SD</t>
        </is>
      </c>
      <c r="E482" s="2" t="n">
        <v>20</v>
      </c>
      <c r="F482" s="2" t="inlineStr">
        <is>
          <t>Rookie pick 3</t>
        </is>
      </c>
      <c r="G482" s="3" t="n">
        <v>103</v>
      </c>
      <c r="H482" s="3" t="n">
        <v>103</v>
      </c>
      <c r="I482" s="3">
        <f>H482-G482</f>
        <v/>
      </c>
      <c r="J482" s="4">
        <f>IF(G482=0,"",(H482-G482)/G482)</f>
        <v/>
      </c>
      <c r="K482" s="4">
        <f>IF(G482=0,"",(H482-G482*0.891738)/(G482*0.891738))</f>
        <v/>
      </c>
      <c r="L482" s="3" t="n">
        <v>0</v>
      </c>
      <c r="M482" s="3" t="n">
        <v>0</v>
      </c>
      <c r="N482" s="3" t="n">
        <v>0</v>
      </c>
      <c r="O482" s="3" t="n">
        <v>0</v>
      </c>
      <c r="P482" s="3" t="n">
        <v>0</v>
      </c>
      <c r="Q482" s="3">
        <f>SUM(L482:P482)-I482</f>
        <v/>
      </c>
    </row>
    <row r="483">
      <c r="A483" s="2" t="inlineStr">
        <is>
          <t>asher-eastham</t>
        </is>
      </c>
      <c r="B483" s="2" t="inlineStr">
        <is>
          <t>Asher Eastham</t>
        </is>
      </c>
      <c r="C483" s="2" t="inlineStr">
        <is>
          <t>Gold Coast</t>
        </is>
      </c>
      <c r="D483" s="2" t="inlineStr">
        <is>
          <t>SF</t>
        </is>
      </c>
      <c r="E483" s="2" t="n">
        <v>20</v>
      </c>
      <c r="F483" s="2" t="inlineStr">
        <is>
          <t>Rookie pick 7</t>
        </is>
      </c>
      <c r="G483" s="3" t="n">
        <v>96</v>
      </c>
      <c r="H483" s="3" t="n">
        <v>96</v>
      </c>
      <c r="I483" s="3">
        <f>H483-G483</f>
        <v/>
      </c>
      <c r="J483" s="4">
        <f>IF(G483=0,"",(H483-G483)/G483)</f>
        <v/>
      </c>
      <c r="K483" s="4">
        <f>IF(G483=0,"",(H483-G483*0.891738)/(G483*0.891738))</f>
        <v/>
      </c>
      <c r="L483" s="3" t="n">
        <v>0</v>
      </c>
      <c r="M483" s="3" t="n">
        <v>0</v>
      </c>
      <c r="N483" s="3" t="n">
        <v>0</v>
      </c>
      <c r="O483" s="3" t="n">
        <v>0</v>
      </c>
      <c r="P483" s="3" t="n">
        <v>0</v>
      </c>
      <c r="Q483" s="3">
        <f>SUM(L483:P483)-I483</f>
        <v/>
      </c>
    </row>
    <row r="484">
      <c r="A484" s="2" t="inlineStr">
        <is>
          <t>sam-de-koning</t>
        </is>
      </c>
      <c r="B484" s="2" t="inlineStr">
        <is>
          <t>Sam De Koning</t>
        </is>
      </c>
      <c r="C484" s="2" t="inlineStr">
        <is>
          <t>Geelong</t>
        </is>
      </c>
      <c r="D484" s="2" t="inlineStr">
        <is>
          <t>KPD</t>
        </is>
      </c>
      <c r="E484" s="2" t="n">
        <v>25</v>
      </c>
      <c r="F484" s="2" t="inlineStr">
        <is>
          <t>National pick 19</t>
        </is>
      </c>
      <c r="G484" s="3" t="n">
        <v>867</v>
      </c>
      <c r="H484" s="3" t="n">
        <v>760</v>
      </c>
      <c r="I484" s="3">
        <f>H484-G484</f>
        <v/>
      </c>
      <c r="J484" s="4">
        <f>IF(G484=0,"",(H484-G484)/G484)</f>
        <v/>
      </c>
      <c r="K484" s="4">
        <f>IF(G484=0,"",(H484-G484*0.891738)/(G484*0.891738))</f>
        <v/>
      </c>
      <c r="L484" s="3" t="n">
        <v>-15</v>
      </c>
      <c r="M484" s="3" t="n">
        <v>0</v>
      </c>
      <c r="N484" s="3" t="n">
        <v>-92</v>
      </c>
      <c r="O484" s="3" t="n">
        <v>0</v>
      </c>
      <c r="P484" s="3" t="n">
        <v>0</v>
      </c>
      <c r="Q484" s="3">
        <f>SUM(L484:P484)-I484</f>
        <v/>
      </c>
    </row>
    <row r="485">
      <c r="A485" s="2" t="inlineStr">
        <is>
          <t>toby-mcmullin</t>
        </is>
      </c>
      <c r="B485" s="2" t="inlineStr">
        <is>
          <t>Toby McMullin</t>
        </is>
      </c>
      <c r="C485" s="2" t="inlineStr">
        <is>
          <t>GWS</t>
        </is>
      </c>
      <c r="D485" s="2" t="inlineStr">
        <is>
          <t>SF</t>
        </is>
      </c>
      <c r="E485" s="2" t="n">
        <v>22</v>
      </c>
      <c r="F485" s="2" t="inlineStr">
        <is>
          <t>National pick 34</t>
        </is>
      </c>
      <c r="G485" s="3" t="n">
        <v>124</v>
      </c>
      <c r="H485" s="3" t="n">
        <v>99</v>
      </c>
      <c r="I485" s="3">
        <f>H485-G485</f>
        <v/>
      </c>
      <c r="J485" s="4">
        <f>IF(G485=0,"",(H485-G485)/G485)</f>
        <v/>
      </c>
      <c r="K485" s="4">
        <f>IF(G485=0,"",(H485-G485*0.891738)/(G485*0.891738))</f>
        <v/>
      </c>
      <c r="L485" s="3" t="n">
        <v>-14</v>
      </c>
      <c r="M485" s="3" t="n">
        <v>0</v>
      </c>
      <c r="N485" s="3" t="n">
        <v>-11</v>
      </c>
      <c r="O485" s="3" t="n">
        <v>0</v>
      </c>
      <c r="P485" s="3" t="n">
        <v>0</v>
      </c>
      <c r="Q485" s="3">
        <f>SUM(L485:P485)-I485</f>
        <v/>
      </c>
    </row>
    <row r="486">
      <c r="A486" s="2" t="inlineStr">
        <is>
          <t>angus-anderson</t>
        </is>
      </c>
      <c r="B486" s="2" t="inlineStr">
        <is>
          <t>Angus Anderson</t>
        </is>
      </c>
      <c r="C486" s="2" t="inlineStr">
        <is>
          <t>Collingwood</t>
        </is>
      </c>
      <c r="D486" s="2" t="inlineStr">
        <is>
          <t>MID</t>
        </is>
      </c>
      <c r="E486" s="2" t="n">
        <v>23</v>
      </c>
      <c r="F486" s="2" t="inlineStr">
        <is>
          <t>National pick 57</t>
        </is>
      </c>
      <c r="G486" s="3" t="n">
        <v>161</v>
      </c>
      <c r="H486" s="3" t="n">
        <v>142</v>
      </c>
      <c r="I486" s="3">
        <f>H486-G486</f>
        <v/>
      </c>
      <c r="J486" s="4">
        <f>IF(G486=0,"",(H486-G486)/G486)</f>
        <v/>
      </c>
      <c r="K486" s="4">
        <f>IF(G486=0,"",(H486-G486*0.891738)/(G486*0.891738))</f>
        <v/>
      </c>
      <c r="L486" s="3" t="n">
        <v>-2</v>
      </c>
      <c r="M486" s="3" t="n">
        <v>0</v>
      </c>
      <c r="N486" s="3" t="n">
        <v>-17</v>
      </c>
      <c r="O486" s="3" t="n">
        <v>0</v>
      </c>
      <c r="P486" s="3" t="n">
        <v>0</v>
      </c>
      <c r="Q486" s="3">
        <f>SUM(L486:P486)-I486</f>
        <v/>
      </c>
    </row>
    <row r="487">
      <c r="A487" s="2" t="inlineStr">
        <is>
          <t>sam-butler-1</t>
        </is>
      </c>
      <c r="B487" s="2" t="inlineStr">
        <is>
          <t>Sam Butler</t>
        </is>
      </c>
      <c r="C487" s="2" t="inlineStr">
        <is>
          <t>Hawthorn</t>
        </is>
      </c>
      <c r="D487" s="2" t="inlineStr">
        <is>
          <t>SF</t>
        </is>
      </c>
      <c r="E487" s="2" t="n">
        <v>23</v>
      </c>
      <c r="F487" s="2" t="inlineStr">
        <is>
          <t>National pick 23</t>
        </is>
      </c>
      <c r="G487" s="3" t="n">
        <v>81</v>
      </c>
      <c r="H487" s="3" t="n">
        <v>78</v>
      </c>
      <c r="I487" s="3">
        <f>H487-G487</f>
        <v/>
      </c>
      <c r="J487" s="4">
        <f>IF(G487=0,"",(H487-G487)/G487)</f>
        <v/>
      </c>
      <c r="K487" s="4">
        <f>IF(G487=0,"",(H487-G487*0.891738)/(G487*0.891738))</f>
        <v/>
      </c>
      <c r="L487" s="3" t="n">
        <v>0</v>
      </c>
      <c r="M487" s="3" t="n">
        <v>0</v>
      </c>
      <c r="N487" s="3" t="n">
        <v>-3</v>
      </c>
      <c r="O487" s="3" t="n">
        <v>0</v>
      </c>
      <c r="P487" s="3" t="n">
        <v>0</v>
      </c>
      <c r="Q487" s="3">
        <f>SUM(L487:P487)-I487</f>
        <v/>
      </c>
    </row>
    <row r="488">
      <c r="A488" s="2" t="inlineStr">
        <is>
          <t>zane-zakostelsky</t>
        </is>
      </c>
      <c r="B488" s="2" t="inlineStr">
        <is>
          <t>Zane Zakostelsky</t>
        </is>
      </c>
      <c r="C488" s="2" t="inlineStr">
        <is>
          <t>Brisbane</t>
        </is>
      </c>
      <c r="D488" s="2" t="inlineStr">
        <is>
          <t>KPD</t>
        </is>
      </c>
      <c r="E488" s="2" t="n">
        <v>21</v>
      </c>
      <c r="F488" s="2" t="inlineStr">
        <is>
          <t>National pick 51</t>
        </is>
      </c>
      <c r="G488" s="3" t="n">
        <v>391</v>
      </c>
      <c r="H488" s="3" t="n">
        <v>152</v>
      </c>
      <c r="I488" s="3">
        <f>H488-G488</f>
        <v/>
      </c>
      <c r="J488" s="4">
        <f>IF(G488=0,"",(H488-G488)/G488)</f>
        <v/>
      </c>
      <c r="K488" s="4">
        <f>IF(G488=0,"",(H488-G488*0.891738)/(G488*0.891738))</f>
        <v/>
      </c>
      <c r="L488" s="3" t="n">
        <v>-19</v>
      </c>
      <c r="M488" s="3" t="n">
        <v>0</v>
      </c>
      <c r="N488" s="3" t="n">
        <v>-42</v>
      </c>
      <c r="O488" s="3" t="n">
        <v>-55</v>
      </c>
      <c r="P488" s="3" t="n">
        <v>-123</v>
      </c>
      <c r="Q488" s="3">
        <f>SUM(L488:P488)-I488</f>
        <v/>
      </c>
    </row>
    <row r="489">
      <c r="A489" s="2" t="inlineStr">
        <is>
          <t>thomas-anastasopoulos</t>
        </is>
      </c>
      <c r="B489" s="2" t="inlineStr">
        <is>
          <t>Tom Anastasopoulos</t>
        </is>
      </c>
      <c r="C489" s="2" t="inlineStr">
        <is>
          <t>Port Adelaide</t>
        </is>
      </c>
      <c r="D489" s="2" t="inlineStr">
        <is>
          <t>SF</t>
        </is>
      </c>
      <c r="E489" s="2" t="n">
        <v>21</v>
      </c>
      <c r="F489" s="2" t="inlineStr">
        <is>
          <t>National pick 48</t>
        </is>
      </c>
      <c r="G489" s="3" t="n">
        <v>269</v>
      </c>
      <c r="H489" s="3" t="n">
        <v>104</v>
      </c>
      <c r="I489" s="3">
        <f>H489-G489</f>
        <v/>
      </c>
      <c r="J489" s="4">
        <f>IF(G489=0,"",(H489-G489)/G489)</f>
        <v/>
      </c>
      <c r="K489" s="4">
        <f>IF(G489=0,"",(H489-G489*0.891738)/(G489*0.891738))</f>
        <v/>
      </c>
      <c r="L489" s="3" t="n">
        <v>-62</v>
      </c>
      <c r="M489" s="3" t="n">
        <v>0</v>
      </c>
      <c r="N489" s="3" t="n">
        <v>-23</v>
      </c>
      <c r="O489" s="3" t="n">
        <v>-24</v>
      </c>
      <c r="P489" s="3" t="n">
        <v>-56</v>
      </c>
      <c r="Q489" s="3">
        <f>SUM(L489:P489)-I489</f>
        <v/>
      </c>
    </row>
    <row r="490">
      <c r="A490" s="2" t="inlineStr">
        <is>
          <t>campbell-chesser</t>
        </is>
      </c>
      <c r="B490" s="2" t="inlineStr">
        <is>
          <t>Campbell Chesser</t>
        </is>
      </c>
      <c r="C490" s="2" t="inlineStr">
        <is>
          <t>Carlton</t>
        </is>
      </c>
      <c r="D490" s="2" t="inlineStr">
        <is>
          <t>MID</t>
        </is>
      </c>
      <c r="E490" s="2" t="n">
        <v>23</v>
      </c>
      <c r="F490" s="2" t="inlineStr">
        <is>
          <t>National pick 14</t>
        </is>
      </c>
      <c r="G490" s="3" t="n">
        <v>277</v>
      </c>
      <c r="H490" s="3" t="n">
        <v>258</v>
      </c>
      <c r="I490" s="3">
        <f>H490-G490</f>
        <v/>
      </c>
      <c r="J490" s="4">
        <f>IF(G490=0,"",(H490-G490)/G490)</f>
        <v/>
      </c>
      <c r="K490" s="4">
        <f>IF(G490=0,"",(H490-G490*0.891738)/(G490*0.891738))</f>
        <v/>
      </c>
      <c r="L490" s="3" t="n">
        <v>12</v>
      </c>
      <c r="M490" s="3" t="n">
        <v>0</v>
      </c>
      <c r="N490" s="3" t="n">
        <v>-31</v>
      </c>
      <c r="O490" s="3" t="n">
        <v>0</v>
      </c>
      <c r="P490" s="3" t="n">
        <v>0</v>
      </c>
      <c r="Q490" s="3">
        <f>SUM(L490:P490)-I490</f>
        <v/>
      </c>
    </row>
    <row r="491">
      <c r="A491" s="2" t="inlineStr">
        <is>
          <t>luke-urquhart</t>
        </is>
      </c>
      <c r="B491" s="2" t="inlineStr">
        <is>
          <t>Luke Urquhart</t>
        </is>
      </c>
      <c r="C491" s="2" t="inlineStr">
        <is>
          <t>North Melbourne</t>
        </is>
      </c>
      <c r="D491" s="2" t="inlineStr">
        <is>
          <t>MID</t>
        </is>
      </c>
      <c r="E491" s="2" t="n">
        <v>20</v>
      </c>
      <c r="F491" s="2" t="inlineStr">
        <is>
          <t>National pick 57</t>
        </is>
      </c>
      <c r="G491" s="3" t="n">
        <v>145</v>
      </c>
      <c r="H491" s="3" t="n">
        <v>122</v>
      </c>
      <c r="I491" s="3">
        <f>H491-G491</f>
        <v/>
      </c>
      <c r="J491" s="4">
        <f>IF(G491=0,"",(H491-G491)/G491)</f>
        <v/>
      </c>
      <c r="K491" s="4">
        <f>IF(G491=0,"",(H491-G491*0.891738)/(G491*0.891738))</f>
        <v/>
      </c>
      <c r="L491" s="3" t="n">
        <v>0</v>
      </c>
      <c r="M491" s="3" t="n">
        <v>0</v>
      </c>
      <c r="N491" s="3" t="n">
        <v>-23</v>
      </c>
      <c r="O491" s="3" t="n">
        <v>0</v>
      </c>
      <c r="P491" s="3" t="n">
        <v>0</v>
      </c>
      <c r="Q491" s="3">
        <f>SUM(L491:P491)-I491</f>
        <v/>
      </c>
    </row>
    <row r="492">
      <c r="A492" s="2" t="inlineStr">
        <is>
          <t>dion-prestia</t>
        </is>
      </c>
      <c r="B492" s="2" t="inlineStr">
        <is>
          <t>Dion Prestia</t>
        </is>
      </c>
      <c r="C492" s="2" t="inlineStr">
        <is>
          <t>Richmond</t>
        </is>
      </c>
      <c r="D492" s="2" t="inlineStr">
        <is>
          <t>MID</t>
        </is>
      </c>
      <c r="E492" s="2" t="n">
        <v>34</v>
      </c>
      <c r="F492" s="2" t="inlineStr">
        <is>
          <t>National pick 9</t>
        </is>
      </c>
      <c r="G492" s="3" t="n">
        <v>296</v>
      </c>
      <c r="H492" s="3" t="n">
        <v>261</v>
      </c>
      <c r="I492" s="3">
        <f>H492-G492</f>
        <v/>
      </c>
      <c r="J492" s="4">
        <f>IF(G492=0,"",(H492-G492)/G492)</f>
        <v/>
      </c>
      <c r="K492" s="4">
        <f>IF(G492=0,"",(H492-G492*0.891738)/(G492*0.891738))</f>
        <v/>
      </c>
      <c r="L492" s="3" t="n">
        <v>-3</v>
      </c>
      <c r="M492" s="3" t="n">
        <v>0</v>
      </c>
      <c r="N492" s="3" t="n">
        <v>-32</v>
      </c>
      <c r="O492" s="3" t="n">
        <v>0</v>
      </c>
      <c r="P492" s="3" t="n">
        <v>0</v>
      </c>
      <c r="Q492" s="3">
        <f>SUM(L492:P492)-I492</f>
        <v/>
      </c>
    </row>
    <row r="493">
      <c r="A493" s="2" t="inlineStr">
        <is>
          <t>bodie-ryan</t>
        </is>
      </c>
      <c r="B493" s="2" t="inlineStr">
        <is>
          <t>Bodie Ryan</t>
        </is>
      </c>
      <c r="C493" s="2" t="inlineStr">
        <is>
          <t>Hawthorn</t>
        </is>
      </c>
      <c r="D493" s="2" t="inlineStr">
        <is>
          <t>SD</t>
        </is>
      </c>
      <c r="E493" s="2" t="n">
        <v>21</v>
      </c>
      <c r="F493" s="2" t="inlineStr">
        <is>
          <t>National pick 46</t>
        </is>
      </c>
      <c r="G493" s="3" t="n">
        <v>252</v>
      </c>
      <c r="H493" s="3" t="n">
        <v>181</v>
      </c>
      <c r="I493" s="3">
        <f>H493-G493</f>
        <v/>
      </c>
      <c r="J493" s="4">
        <f>IF(G493=0,"",(H493-G493)/G493)</f>
        <v/>
      </c>
      <c r="K493" s="4">
        <f>IF(G493=0,"",(H493-G493*0.891738)/(G493*0.891738))</f>
        <v/>
      </c>
      <c r="L493" s="3" t="n">
        <v>-15</v>
      </c>
      <c r="M493" s="3" t="n">
        <v>0</v>
      </c>
      <c r="N493" s="3" t="n">
        <v>-26</v>
      </c>
      <c r="O493" s="3" t="n">
        <v>-15</v>
      </c>
      <c r="P493" s="3" t="n">
        <v>-15</v>
      </c>
      <c r="Q493" s="3">
        <f>SUM(L493:P493)-I493</f>
        <v/>
      </c>
    </row>
    <row r="494">
      <c r="A494" s="2" t="inlineStr">
        <is>
          <t>tom-blamires</t>
        </is>
      </c>
      <c r="B494" s="2" t="inlineStr">
        <is>
          <t>Tom Blamires</t>
        </is>
      </c>
      <c r="C494" s="2" t="inlineStr">
        <is>
          <t>North Melbourne</t>
        </is>
      </c>
      <c r="D494" s="2" t="inlineStr">
        <is>
          <t>SD</t>
        </is>
      </c>
      <c r="E494" s="2" t="n">
        <v>24</v>
      </c>
      <c r="F494" s="2" t="inlineStr">
        <is>
          <t>SSP (pool)</t>
        </is>
      </c>
      <c r="G494" s="3" t="n">
        <v>113</v>
      </c>
      <c r="H494" s="3" t="n">
        <v>113</v>
      </c>
      <c r="I494" s="3">
        <f>H494-G494</f>
        <v/>
      </c>
      <c r="J494" s="4">
        <f>IF(G494=0,"",(H494-G494)/G494)</f>
        <v/>
      </c>
      <c r="K494" s="4">
        <f>IF(G494=0,"",(H494-G494*0.891738)/(G494*0.891738))</f>
        <v/>
      </c>
      <c r="L494" s="3" t="n">
        <v>0</v>
      </c>
      <c r="M494" s="3" t="n">
        <v>0</v>
      </c>
      <c r="N494" s="3" t="n">
        <v>0</v>
      </c>
      <c r="O494" s="3" t="n">
        <v>0</v>
      </c>
      <c r="P494" s="3" t="n">
        <v>0</v>
      </c>
      <c r="Q494" s="3">
        <f>SUM(L494:P494)-I494</f>
        <v/>
      </c>
    </row>
    <row r="495">
      <c r="A495" s="2" t="inlineStr">
        <is>
          <t>matt-carroll</t>
        </is>
      </c>
      <c r="B495" s="2" t="inlineStr">
        <is>
          <t>Matt Carroll</t>
        </is>
      </c>
      <c r="C495" s="2" t="inlineStr">
        <is>
          <t>Carlton</t>
        </is>
      </c>
      <c r="D495" s="2" t="inlineStr">
        <is>
          <t>MID</t>
        </is>
      </c>
      <c r="E495" s="2" t="n">
        <v>21</v>
      </c>
      <c r="F495" s="2" t="inlineStr">
        <is>
          <t>Rookie pick 7</t>
        </is>
      </c>
      <c r="G495" s="3" t="n">
        <v>941</v>
      </c>
      <c r="H495" s="3" t="n">
        <v>697</v>
      </c>
      <c r="I495" s="3">
        <f>H495-G495</f>
        <v/>
      </c>
      <c r="J495" s="4">
        <f>IF(G495=0,"",(H495-G495)/G495)</f>
        <v/>
      </c>
      <c r="K495" s="4">
        <f>IF(G495=0,"",(H495-G495*0.891738)/(G495*0.891738))</f>
        <v/>
      </c>
      <c r="L495" s="3" t="n">
        <v>-158</v>
      </c>
      <c r="M495" s="3" t="n">
        <v>0</v>
      </c>
      <c r="N495" s="3" t="n">
        <v>-86</v>
      </c>
      <c r="O495" s="3" t="n">
        <v>0</v>
      </c>
      <c r="P495" s="3" t="n">
        <v>0</v>
      </c>
      <c r="Q495" s="3">
        <f>SUM(L495:P495)-I495</f>
        <v/>
      </c>
    </row>
    <row r="496">
      <c r="A496" s="2" t="inlineStr">
        <is>
          <t>elliot-yeo</t>
        </is>
      </c>
      <c r="B496" s="2" t="inlineStr">
        <is>
          <t>Elliot Yeo</t>
        </is>
      </c>
      <c r="C496" s="2" t="inlineStr">
        <is>
          <t>West Coast</t>
        </is>
      </c>
      <c r="D496" s="2" t="inlineStr">
        <is>
          <t>MID</t>
        </is>
      </c>
      <c r="E496" s="2" t="n">
        <v>33</v>
      </c>
      <c r="F496" s="2" t="inlineStr">
        <is>
          <t>National pick 36</t>
        </is>
      </c>
      <c r="G496" s="3" t="n">
        <v>294</v>
      </c>
      <c r="H496" s="3" t="n">
        <v>258</v>
      </c>
      <c r="I496" s="3">
        <f>H496-G496</f>
        <v/>
      </c>
      <c r="J496" s="4">
        <f>IF(G496=0,"",(H496-G496)/G496)</f>
        <v/>
      </c>
      <c r="K496" s="4">
        <f>IF(G496=0,"",(H496-G496*0.891738)/(G496*0.891738))</f>
        <v/>
      </c>
      <c r="L496" s="3" t="n">
        <v>-4</v>
      </c>
      <c r="M496" s="3" t="n">
        <v>0</v>
      </c>
      <c r="N496" s="3" t="n">
        <v>-32</v>
      </c>
      <c r="O496" s="3" t="n">
        <v>0</v>
      </c>
      <c r="P496" s="3" t="n">
        <v>0</v>
      </c>
      <c r="Q496" s="3">
        <f>SUM(L496:P496)-I496</f>
        <v/>
      </c>
    </row>
    <row r="497">
      <c r="A497" s="2" t="inlineStr">
        <is>
          <t>noah-roberts-thomson</t>
        </is>
      </c>
      <c r="B497" s="2" t="inlineStr">
        <is>
          <t>Noah Roberts-Thomson</t>
        </is>
      </c>
      <c r="C497" s="2" t="inlineStr">
        <is>
          <t>Richmond</t>
        </is>
      </c>
      <c r="D497" s="2" t="inlineStr">
        <is>
          <t>SF</t>
        </is>
      </c>
      <c r="E497" s="2" t="n">
        <v>19</v>
      </c>
      <c r="F497" s="2" t="inlineStr">
        <is>
          <t>National pick 54</t>
        </is>
      </c>
      <c r="G497" s="3" t="n">
        <v>345</v>
      </c>
      <c r="H497" s="3" t="n">
        <v>162</v>
      </c>
      <c r="I497" s="3">
        <f>H497-G497</f>
        <v/>
      </c>
      <c r="J497" s="4">
        <f>IF(G497=0,"",(H497-G497)/G497)</f>
        <v/>
      </c>
      <c r="K497" s="4">
        <f>IF(G497=0,"",(H497-G497*0.891738)/(G497*0.891738))</f>
        <v/>
      </c>
      <c r="L497" s="3" t="n">
        <v>-120</v>
      </c>
      <c r="M497" s="3" t="n">
        <v>0</v>
      </c>
      <c r="N497" s="3" t="n">
        <v>-28</v>
      </c>
      <c r="O497" s="3" t="n">
        <v>-15</v>
      </c>
      <c r="P497" s="3" t="n">
        <v>-20</v>
      </c>
      <c r="Q497" s="3">
        <f>SUM(L497:P497)-I497</f>
        <v/>
      </c>
    </row>
    <row r="498">
      <c r="A498" s="2" t="inlineStr">
        <is>
          <t>jack-watkins</t>
        </is>
      </c>
      <c r="B498" s="2" t="inlineStr">
        <is>
          <t>Jack Watkins</t>
        </is>
      </c>
      <c r="C498" s="2" t="inlineStr">
        <is>
          <t>Port Adelaide</t>
        </is>
      </c>
      <c r="D498" s="2" t="inlineStr">
        <is>
          <t>MID</t>
        </is>
      </c>
      <c r="E498" s="2" t="n">
        <v>26</v>
      </c>
      <c r="F498" s="2" t="inlineStr">
        <is>
          <t>Rookie pick 3</t>
        </is>
      </c>
      <c r="G498" s="3" t="n">
        <v>132</v>
      </c>
      <c r="H498" s="3" t="n">
        <v>132</v>
      </c>
      <c r="I498" s="3">
        <f>H498-G498</f>
        <v/>
      </c>
      <c r="J498" s="4">
        <f>IF(G498=0,"",(H498-G498)/G498)</f>
        <v/>
      </c>
      <c r="K498" s="4">
        <f>IF(G498=0,"",(H498-G498*0.891738)/(G498*0.891738))</f>
        <v/>
      </c>
      <c r="L498" s="3" t="n">
        <v>0</v>
      </c>
      <c r="M498" s="3" t="n">
        <v>0</v>
      </c>
      <c r="N498" s="3" t="n">
        <v>0</v>
      </c>
      <c r="O498" s="3" t="n">
        <v>0</v>
      </c>
      <c r="P498" s="3" t="n">
        <v>0</v>
      </c>
      <c r="Q498" s="3">
        <f>SUM(L498:P498)-I498</f>
        <v/>
      </c>
    </row>
    <row r="499">
      <c r="A499" s="2" t="inlineStr">
        <is>
          <t>luker-kentfield</t>
        </is>
      </c>
      <c r="B499" s="2" t="inlineStr">
        <is>
          <t>Luker Kentfield</t>
        </is>
      </c>
      <c r="C499" s="2" t="inlineStr">
        <is>
          <t>Melbourne</t>
        </is>
      </c>
      <c r="D499" s="2" t="inlineStr">
        <is>
          <t>KPF</t>
        </is>
      </c>
      <c r="E499" s="2" t="n">
        <v>21</v>
      </c>
      <c r="F499" s="2" t="inlineStr">
        <is>
          <t>Mid-Season pick 11</t>
        </is>
      </c>
      <c r="G499" s="3" t="n">
        <v>330</v>
      </c>
      <c r="H499" s="3" t="n">
        <v>142</v>
      </c>
      <c r="I499" s="3">
        <f>H499-G499</f>
        <v/>
      </c>
      <c r="J499" s="4">
        <f>IF(G499=0,"",(H499-G499)/G499)</f>
        <v/>
      </c>
      <c r="K499" s="4">
        <f>IF(G499=0,"",(H499-G499*0.891738)/(G499*0.891738))</f>
        <v/>
      </c>
      <c r="L499" s="3" t="n">
        <v>-74</v>
      </c>
      <c r="M499" s="3" t="n">
        <v>0</v>
      </c>
      <c r="N499" s="3" t="n">
        <v>-22</v>
      </c>
      <c r="O499" s="3" t="n">
        <v>-34</v>
      </c>
      <c r="P499" s="3" t="n">
        <v>-58</v>
      </c>
      <c r="Q499" s="3">
        <f>SUM(L499:P499)-I499</f>
        <v/>
      </c>
    </row>
    <row r="500">
      <c r="A500" s="2" t="inlineStr">
        <is>
          <t>roan-steele</t>
        </is>
      </c>
      <c r="B500" s="2" t="inlineStr">
        <is>
          <t>Roan Steele</t>
        </is>
      </c>
      <c r="C500" s="2" t="inlineStr">
        <is>
          <t>Collingwood</t>
        </is>
      </c>
      <c r="D500" s="2" t="inlineStr">
        <is>
          <t>MID</t>
        </is>
      </c>
      <c r="E500" s="2" t="n">
        <v>25</v>
      </c>
      <c r="F500" s="2" t="inlineStr">
        <is>
          <t>Mid-Season pick 7</t>
        </is>
      </c>
      <c r="G500" s="3" t="n">
        <v>128</v>
      </c>
      <c r="H500" s="3" t="n">
        <v>128</v>
      </c>
      <c r="I500" s="3">
        <f>H500-G500</f>
        <v/>
      </c>
      <c r="J500" s="4">
        <f>IF(G500=0,"",(H500-G500)/G500)</f>
        <v/>
      </c>
      <c r="K500" s="4">
        <f>IF(G500=0,"",(H500-G500*0.891738)/(G500*0.891738))</f>
        <v/>
      </c>
      <c r="L500" s="3" t="n">
        <v>0</v>
      </c>
      <c r="M500" s="3" t="n">
        <v>0</v>
      </c>
      <c r="N500" s="3" t="n">
        <v>0</v>
      </c>
      <c r="O500" s="3" t="n">
        <v>0</v>
      </c>
      <c r="P500" s="3" t="n">
        <v>0</v>
      </c>
      <c r="Q500" s="3">
        <f>SUM(L500:P500)-I500</f>
        <v/>
      </c>
    </row>
    <row r="501">
      <c r="A501" s="2" t="inlineStr">
        <is>
          <t>kye-annand</t>
        </is>
      </c>
      <c r="B501" s="2" t="inlineStr">
        <is>
          <t>Kye Annand</t>
        </is>
      </c>
      <c r="C501" s="2" t="inlineStr">
        <is>
          <t>Richmond</t>
        </is>
      </c>
      <c r="D501" s="2" t="inlineStr">
        <is>
          <t>KPD</t>
        </is>
      </c>
      <c r="E501" s="2" t="n">
        <v>23</v>
      </c>
      <c r="F501" s="2" t="inlineStr">
        <is>
          <t>Mid-Season pick 2</t>
        </is>
      </c>
      <c r="G501" s="3" t="n">
        <v>161</v>
      </c>
      <c r="H501" s="3" t="n">
        <v>86</v>
      </c>
      <c r="I501" s="3">
        <f>H501-G501</f>
        <v/>
      </c>
      <c r="J501" s="4">
        <f>IF(G501=0,"",(H501-G501)/G501)</f>
        <v/>
      </c>
      <c r="K501" s="4">
        <f>IF(G501=0,"",(H501-G501*0.891738)/(G501*0.891738))</f>
        <v/>
      </c>
      <c r="L501" s="3" t="n">
        <v>-63</v>
      </c>
      <c r="M501" s="3" t="n">
        <v>0</v>
      </c>
      <c r="N501" s="3" t="n">
        <v>-12</v>
      </c>
      <c r="O501" s="3" t="n">
        <v>0</v>
      </c>
      <c r="P501" s="3" t="n">
        <v>0</v>
      </c>
      <c r="Q501" s="3">
        <f>SUM(L501:P501)-I501</f>
        <v/>
      </c>
    </row>
    <row r="502">
      <c r="A502" s="2" t="inlineStr">
        <is>
          <t>ollie-greeves</t>
        </is>
      </c>
      <c r="B502" s="2" t="inlineStr">
        <is>
          <t>Ollie Greeves</t>
        </is>
      </c>
      <c r="C502" s="2" t="inlineStr">
        <is>
          <t>Hawthorn</t>
        </is>
      </c>
      <c r="D502" s="2" t="inlineStr">
        <is>
          <t>MID</t>
        </is>
      </c>
      <c r="E502" s="2" t="n">
        <v>19</v>
      </c>
      <c r="F502" s="2" t="inlineStr">
        <is>
          <t>Rookie pick 5</t>
        </is>
      </c>
      <c r="G502" s="3" t="n">
        <v>568</v>
      </c>
      <c r="H502" s="3" t="n">
        <v>259</v>
      </c>
      <c r="I502" s="3">
        <f>H502-G502</f>
        <v/>
      </c>
      <c r="J502" s="4">
        <f>IF(G502=0,"",(H502-G502)/G502)</f>
        <v/>
      </c>
      <c r="K502" s="4">
        <f>IF(G502=0,"",(H502-G502*0.891738)/(G502*0.891738))</f>
        <v/>
      </c>
      <c r="L502" s="3" t="n">
        <v>-255</v>
      </c>
      <c r="M502" s="3" t="n">
        <v>0</v>
      </c>
      <c r="N502" s="3" t="n">
        <v>-28</v>
      </c>
      <c r="O502" s="3" t="n">
        <v>-16</v>
      </c>
      <c r="P502" s="3" t="n">
        <v>-10</v>
      </c>
      <c r="Q502" s="3">
        <f>SUM(L502:P502)-I502</f>
        <v/>
      </c>
    </row>
    <row r="503">
      <c r="A503" s="2" t="inlineStr">
        <is>
          <t>nick-larkey</t>
        </is>
      </c>
      <c r="B503" s="2" t="inlineStr">
        <is>
          <t>Nick Larkey</t>
        </is>
      </c>
      <c r="C503" s="2" t="inlineStr">
        <is>
          <t>North Melbourne</t>
        </is>
      </c>
      <c r="D503" s="2" t="inlineStr">
        <is>
          <t>KPF</t>
        </is>
      </c>
      <c r="E503" s="2" t="n">
        <v>28</v>
      </c>
      <c r="F503" s="2" t="inlineStr">
        <is>
          <t>National pick 72</t>
        </is>
      </c>
      <c r="G503" s="3" t="n">
        <v>537</v>
      </c>
      <c r="H503" s="3" t="n">
        <v>470</v>
      </c>
      <c r="I503" s="3">
        <f>H503-G503</f>
        <v/>
      </c>
      <c r="J503" s="4">
        <f>IF(G503=0,"",(H503-G503)/G503)</f>
        <v/>
      </c>
      <c r="K503" s="4">
        <f>IF(G503=0,"",(H503-G503*0.891738)/(G503*0.891738))</f>
        <v/>
      </c>
      <c r="L503" s="3" t="n">
        <v>-8</v>
      </c>
      <c r="M503" s="3" t="n">
        <v>-2</v>
      </c>
      <c r="N503" s="3" t="n">
        <v>-57</v>
      </c>
      <c r="O503" s="3" t="n">
        <v>0</v>
      </c>
      <c r="P503" s="3" t="n">
        <v>0</v>
      </c>
      <c r="Q503" s="3">
        <f>SUM(L503:P503)-I503</f>
        <v/>
      </c>
    </row>
    <row r="504">
      <c r="A504" s="2" t="inlineStr">
        <is>
          <t>harvey-gallagher</t>
        </is>
      </c>
      <c r="B504" s="2" t="inlineStr">
        <is>
          <t>Harvey Gallagher</t>
        </is>
      </c>
      <c r="C504" s="2" t="inlineStr">
        <is>
          <t>Western Bulldogs</t>
        </is>
      </c>
      <c r="D504" s="2" t="inlineStr">
        <is>
          <t>SD</t>
        </is>
      </c>
      <c r="E504" s="2" t="n">
        <v>23</v>
      </c>
      <c r="F504" s="2" t="inlineStr">
        <is>
          <t>National pick 39</t>
        </is>
      </c>
      <c r="G504" s="3" t="n">
        <v>87</v>
      </c>
      <c r="H504" s="3" t="n">
        <v>82</v>
      </c>
      <c r="I504" s="3">
        <f>H504-G504</f>
        <v/>
      </c>
      <c r="J504" s="4">
        <f>IF(G504=0,"",(H504-G504)/G504)</f>
        <v/>
      </c>
      <c r="K504" s="4">
        <f>IF(G504=0,"",(H504-G504*0.891738)/(G504*0.891738))</f>
        <v/>
      </c>
      <c r="L504" s="3" t="n">
        <v>0</v>
      </c>
      <c r="M504" s="3" t="n">
        <v>0</v>
      </c>
      <c r="N504" s="3" t="n">
        <v>-5</v>
      </c>
      <c r="O504" s="3" t="n">
        <v>0</v>
      </c>
      <c r="P504" s="3" t="n">
        <v>0</v>
      </c>
      <c r="Q504" s="3">
        <f>SUM(L504:P504)-I504</f>
        <v/>
      </c>
    </row>
    <row r="505">
      <c r="A505" s="2" t="inlineStr">
        <is>
          <t>patrick-said</t>
        </is>
      </c>
      <c r="B505" s="2" t="inlineStr">
        <is>
          <t>Patrick Said</t>
        </is>
      </c>
      <c r="C505" s="2" t="inlineStr">
        <is>
          <t>St Kilda</t>
        </is>
      </c>
      <c r="D505" s="2" t="inlineStr">
        <is>
          <t>SF</t>
        </is>
      </c>
      <c r="E505" s="2" t="n">
        <v>20</v>
      </c>
      <c r="F505" s="2" t="inlineStr">
        <is>
          <t>National pick 60</t>
        </is>
      </c>
      <c r="G505" s="3" t="n">
        <v>82</v>
      </c>
      <c r="H505" s="3" t="n">
        <v>72</v>
      </c>
      <c r="I505" s="3">
        <f>H505-G505</f>
        <v/>
      </c>
      <c r="J505" s="4">
        <f>IF(G505=0,"",(H505-G505)/G505)</f>
        <v/>
      </c>
      <c r="K505" s="4">
        <f>IF(G505=0,"",(H505-G505*0.891738)/(G505*0.891738))</f>
        <v/>
      </c>
      <c r="L505" s="3" t="n">
        <v>0</v>
      </c>
      <c r="M505" s="3" t="n">
        <v>0</v>
      </c>
      <c r="N505" s="3" t="n">
        <v>-10</v>
      </c>
      <c r="O505" s="3" t="n">
        <v>0</v>
      </c>
      <c r="P505" s="3" t="n">
        <v>0</v>
      </c>
      <c r="Q505" s="3">
        <f>SUM(L505:P505)-I505</f>
        <v/>
      </c>
    </row>
    <row r="506">
      <c r="A506" s="2" t="inlineStr">
        <is>
          <t>paddy-dow</t>
        </is>
      </c>
      <c r="B506" s="2" t="inlineStr">
        <is>
          <t>Paddy Dow</t>
        </is>
      </c>
      <c r="C506" s="2" t="inlineStr">
        <is>
          <t>St Kilda</t>
        </is>
      </c>
      <c r="D506" s="2" t="inlineStr">
        <is>
          <t>MID</t>
        </is>
      </c>
      <c r="E506" s="2" t="n">
        <v>27</v>
      </c>
      <c r="F506" s="2" t="inlineStr">
        <is>
          <t>National pick 3</t>
        </is>
      </c>
      <c r="G506" s="3" t="n">
        <v>158</v>
      </c>
      <c r="H506" s="3" t="n">
        <v>157</v>
      </c>
      <c r="I506" s="3">
        <f>H506-G506</f>
        <v/>
      </c>
      <c r="J506" s="4">
        <f>IF(G506=0,"",(H506-G506)/G506)</f>
        <v/>
      </c>
      <c r="K506" s="4">
        <f>IF(G506=0,"",(H506-G506*0.891738)/(G506*0.891738))</f>
        <v/>
      </c>
      <c r="L506" s="3" t="n">
        <v>0</v>
      </c>
      <c r="M506" s="3" t="n">
        <v>0</v>
      </c>
      <c r="N506" s="3" t="n">
        <v>-1</v>
      </c>
      <c r="O506" s="3" t="n">
        <v>0</v>
      </c>
      <c r="P506" s="3" t="n">
        <v>0</v>
      </c>
      <c r="Q506" s="3">
        <f>SUM(L506:P506)-I506</f>
        <v/>
      </c>
    </row>
    <row r="507">
      <c r="A507" s="2" t="inlineStr">
        <is>
          <t>rory-lobb</t>
        </is>
      </c>
      <c r="B507" s="2" t="inlineStr">
        <is>
          <t>Rory Lobb</t>
        </is>
      </c>
      <c r="C507" s="2" t="inlineStr">
        <is>
          <t>Western Bulldogs</t>
        </is>
      </c>
      <c r="D507" s="2" t="inlineStr">
        <is>
          <t>KPD</t>
        </is>
      </c>
      <c r="E507" s="2" t="n">
        <v>33</v>
      </c>
      <c r="F507" s="2" t="inlineStr">
        <is>
          <t>National pick 29</t>
        </is>
      </c>
      <c r="G507" s="3" t="n">
        <v>302</v>
      </c>
      <c r="H507" s="3" t="n">
        <v>267</v>
      </c>
      <c r="I507" s="3">
        <f>H507-G507</f>
        <v/>
      </c>
      <c r="J507" s="4">
        <f>IF(G507=0,"",(H507-G507)/G507)</f>
        <v/>
      </c>
      <c r="K507" s="4">
        <f>IF(G507=0,"",(H507-G507*0.891738)/(G507*0.891738))</f>
        <v/>
      </c>
      <c r="L507" s="3" t="n">
        <v>-3</v>
      </c>
      <c r="M507" s="3" t="n">
        <v>0</v>
      </c>
      <c r="N507" s="3" t="n">
        <v>-32</v>
      </c>
      <c r="O507" s="3" t="n">
        <v>0</v>
      </c>
      <c r="P507" s="3" t="n">
        <v>0</v>
      </c>
      <c r="Q507" s="3">
        <f>SUM(L507:P507)-I507</f>
        <v/>
      </c>
    </row>
    <row r="508">
      <c r="A508" s="2" t="inlineStr">
        <is>
          <t>marc-pittonet</t>
        </is>
      </c>
      <c r="B508" s="2" t="inlineStr">
        <is>
          <t>Marc Pittonet</t>
        </is>
      </c>
      <c r="C508" s="2" t="inlineStr">
        <is>
          <t>Carlton</t>
        </is>
      </c>
      <c r="D508" s="2" t="inlineStr">
        <is>
          <t>RUCK</t>
        </is>
      </c>
      <c r="E508" s="2" t="n">
        <v>30</v>
      </c>
      <c r="F508" s="2" t="inlineStr">
        <is>
          <t>National pick 50</t>
        </is>
      </c>
      <c r="G508" s="3" t="n">
        <v>425</v>
      </c>
      <c r="H508" s="3" t="n">
        <v>372</v>
      </c>
      <c r="I508" s="3">
        <f>H508-G508</f>
        <v/>
      </c>
      <c r="J508" s="4">
        <f>IF(G508=0,"",(H508-G508)/G508)</f>
        <v/>
      </c>
      <c r="K508" s="4">
        <f>IF(G508=0,"",(H508-G508*0.891738)/(G508*0.891738))</f>
        <v/>
      </c>
      <c r="L508" s="3" t="n">
        <v>-8</v>
      </c>
      <c r="M508" s="3" t="n">
        <v>0</v>
      </c>
      <c r="N508" s="3" t="n">
        <v>-45</v>
      </c>
      <c r="O508" s="3" t="n">
        <v>0</v>
      </c>
      <c r="P508" s="3" t="n">
        <v>0</v>
      </c>
      <c r="Q508" s="3">
        <f>SUM(L508:P508)-I508</f>
        <v/>
      </c>
    </row>
    <row r="509">
      <c r="A509" s="2" t="inlineStr">
        <is>
          <t>zak-johnson</t>
        </is>
      </c>
      <c r="B509" s="2" t="inlineStr">
        <is>
          <t>Zak Johnson</t>
        </is>
      </c>
      <c r="C509" s="2" t="inlineStr">
        <is>
          <t>Essendon</t>
        </is>
      </c>
      <c r="D509" s="2" t="inlineStr">
        <is>
          <t>SD</t>
        </is>
      </c>
      <c r="E509" s="2" t="n">
        <v>20</v>
      </c>
      <c r="F509" s="2" t="inlineStr">
        <is>
          <t>National pick 70</t>
        </is>
      </c>
      <c r="G509" s="3" t="n">
        <v>556</v>
      </c>
      <c r="H509" s="3" t="n">
        <v>345</v>
      </c>
      <c r="I509" s="3">
        <f>H509-G509</f>
        <v/>
      </c>
      <c r="J509" s="4">
        <f>IF(G509=0,"",(H509-G509)/G509)</f>
        <v/>
      </c>
      <c r="K509" s="4">
        <f>IF(G509=0,"",(H509-G509*0.891738)/(G509*0.891738))</f>
        <v/>
      </c>
      <c r="L509" s="3" t="n">
        <v>-169</v>
      </c>
      <c r="M509" s="3" t="n">
        <v>0</v>
      </c>
      <c r="N509" s="3" t="n">
        <v>-42</v>
      </c>
      <c r="O509" s="3" t="n">
        <v>0</v>
      </c>
      <c r="P509" s="3" t="n">
        <v>0</v>
      </c>
      <c r="Q509" s="3">
        <f>SUM(L509:P509)-I509</f>
        <v/>
      </c>
    </row>
    <row r="510">
      <c r="A510" s="2" t="inlineStr">
        <is>
          <t>archer-day-wicks</t>
        </is>
      </c>
      <c r="B510" s="2" t="inlineStr">
        <is>
          <t>Archer Day-Wicks</t>
        </is>
      </c>
      <c r="C510" s="2" t="inlineStr">
        <is>
          <t>Essendon</t>
        </is>
      </c>
      <c r="D510" s="2" t="inlineStr">
        <is>
          <t>SF</t>
        </is>
      </c>
      <c r="E510" s="2" t="n">
        <v>20</v>
      </c>
      <c r="F510" s="2" t="inlineStr">
        <is>
          <t>Rookie pick 1</t>
        </is>
      </c>
      <c r="G510" s="3" t="n">
        <v>636</v>
      </c>
      <c r="H510" s="3" t="n">
        <v>308</v>
      </c>
      <c r="I510" s="3">
        <f>H510-G510</f>
        <v/>
      </c>
      <c r="J510" s="4">
        <f>IF(G510=0,"",(H510-G510)/G510)</f>
        <v/>
      </c>
      <c r="K510" s="4">
        <f>IF(G510=0,"",(H510-G510*0.891738)/(G510*0.891738))</f>
        <v/>
      </c>
      <c r="L510" s="3" t="n">
        <v>-291</v>
      </c>
      <c r="M510" s="3" t="n">
        <v>0</v>
      </c>
      <c r="N510" s="3" t="n">
        <v>-37</v>
      </c>
      <c r="O510" s="3" t="n">
        <v>0</v>
      </c>
      <c r="P510" s="3" t="n">
        <v>0</v>
      </c>
      <c r="Q510" s="3">
        <f>SUM(L510:P510)-I510</f>
        <v/>
      </c>
    </row>
    <row r="511">
      <c r="A511" s="2" t="inlineStr">
        <is>
          <t>lucas-camporeale</t>
        </is>
      </c>
      <c r="B511" s="2" t="inlineStr">
        <is>
          <t>Lucas Camporeale</t>
        </is>
      </c>
      <c r="C511" s="2" t="inlineStr">
        <is>
          <t>Carlton</t>
        </is>
      </c>
      <c r="D511" s="2" t="inlineStr">
        <is>
          <t>MID</t>
        </is>
      </c>
      <c r="E511" s="2" t="n">
        <v>20</v>
      </c>
      <c r="F511" s="2" t="inlineStr">
        <is>
          <t>National pick 54</t>
        </is>
      </c>
      <c r="G511" s="3" t="n">
        <v>162</v>
      </c>
      <c r="H511" s="3" t="n">
        <v>137</v>
      </c>
      <c r="I511" s="3">
        <f>H511-G511</f>
        <v/>
      </c>
      <c r="J511" s="4">
        <f>IF(G511=0,"",(H511-G511)/G511)</f>
        <v/>
      </c>
      <c r="K511" s="4">
        <f>IF(G511=0,"",(H511-G511*0.891738)/(G511*0.891738))</f>
        <v/>
      </c>
      <c r="L511" s="3" t="n">
        <v>0</v>
      </c>
      <c r="M511" s="3" t="n">
        <v>0</v>
      </c>
      <c r="N511" s="3" t="n">
        <v>-25</v>
      </c>
      <c r="O511" s="3" t="n">
        <v>0</v>
      </c>
      <c r="P511" s="3" t="n">
        <v>0</v>
      </c>
      <c r="Q511" s="3">
        <f>SUM(L511:P511)-I511</f>
        <v/>
      </c>
    </row>
    <row r="512">
      <c r="A512" s="2" t="inlineStr">
        <is>
          <t>jesse-motlop</t>
        </is>
      </c>
      <c r="B512" s="2" t="inlineStr">
        <is>
          <t>Jesse Motlop</t>
        </is>
      </c>
      <c r="C512" s="2" t="inlineStr">
        <is>
          <t>Carlton</t>
        </is>
      </c>
      <c r="D512" s="2" t="inlineStr">
        <is>
          <t>SF</t>
        </is>
      </c>
      <c r="E512" s="2" t="n">
        <v>23</v>
      </c>
      <c r="F512" s="2" t="inlineStr">
        <is>
          <t>National pick 27</t>
        </is>
      </c>
      <c r="G512" s="3" t="n">
        <v>82</v>
      </c>
      <c r="H512" s="3" t="n">
        <v>67</v>
      </c>
      <c r="I512" s="3">
        <f>H512-G512</f>
        <v/>
      </c>
      <c r="J512" s="4">
        <f>IF(G512=0,"",(H512-G512)/G512)</f>
        <v/>
      </c>
      <c r="K512" s="4">
        <f>IF(G512=0,"",(H512-G512*0.891738)/(G512*0.891738))</f>
        <v/>
      </c>
      <c r="L512" s="3" t="n">
        <v>-13</v>
      </c>
      <c r="M512" s="3" t="n">
        <v>0</v>
      </c>
      <c r="N512" s="3" t="n">
        <v>-2</v>
      </c>
      <c r="O512" s="3" t="n">
        <v>0</v>
      </c>
      <c r="P512" s="3" t="n">
        <v>0</v>
      </c>
      <c r="Q512" s="3">
        <f>SUM(L512:P512)-I512</f>
        <v/>
      </c>
    </row>
    <row r="513">
      <c r="A513" s="2" t="inlineStr">
        <is>
          <t>oliver-wines</t>
        </is>
      </c>
      <c r="B513" s="2" t="inlineStr">
        <is>
          <t>Oliver Wines</t>
        </is>
      </c>
      <c r="C513" s="2" t="inlineStr">
        <is>
          <t>Port Adelaide</t>
        </is>
      </c>
      <c r="D513" s="2" t="inlineStr">
        <is>
          <t>MID</t>
        </is>
      </c>
      <c r="E513" s="2" t="n">
        <v>32</v>
      </c>
      <c r="F513" s="2" t="inlineStr">
        <is>
          <t>National pick 10</t>
        </is>
      </c>
      <c r="G513" s="3" t="n">
        <v>321</v>
      </c>
      <c r="H513" s="3" t="n">
        <v>281</v>
      </c>
      <c r="I513" s="3">
        <f>H513-G513</f>
        <v/>
      </c>
      <c r="J513" s="4">
        <f>IF(G513=0,"",(H513-G513)/G513)</f>
        <v/>
      </c>
      <c r="K513" s="4">
        <f>IF(G513=0,"",(H513-G513*0.891738)/(G513*0.891738))</f>
        <v/>
      </c>
      <c r="L513" s="3" t="n">
        <v>-5</v>
      </c>
      <c r="M513" s="3" t="n">
        <v>0</v>
      </c>
      <c r="N513" s="3" t="n">
        <v>-35</v>
      </c>
      <c r="O513" s="3" t="n">
        <v>0</v>
      </c>
      <c r="P513" s="3" t="n">
        <v>0</v>
      </c>
      <c r="Q513" s="3">
        <f>SUM(L513:P513)-I513</f>
        <v/>
      </c>
    </row>
    <row r="514">
      <c r="A514" s="2" t="inlineStr">
        <is>
          <t>campbell-lake</t>
        </is>
      </c>
      <c r="B514" s="2" t="inlineStr">
        <is>
          <t>Campbell Lake</t>
        </is>
      </c>
      <c r="C514" s="2" t="inlineStr">
        <is>
          <t>St Kilda</t>
        </is>
      </c>
      <c r="D514" s="2" t="inlineStr">
        <is>
          <t>SF</t>
        </is>
      </c>
      <c r="E514" s="2" t="n">
        <v>22</v>
      </c>
      <c r="F514" s="2" t="inlineStr">
        <is>
          <t>Mid-Season pick 7</t>
        </is>
      </c>
      <c r="G514" s="3" t="n">
        <v>153</v>
      </c>
      <c r="H514" s="3" t="n">
        <v>52</v>
      </c>
      <c r="I514" s="3">
        <f>H514-G514</f>
        <v/>
      </c>
      <c r="J514" s="4">
        <f>IF(G514=0,"",(H514-G514)/G514)</f>
        <v/>
      </c>
      <c r="K514" s="4">
        <f>IF(G514=0,"",(H514-G514*0.891738)/(G514*0.891738))</f>
        <v/>
      </c>
      <c r="L514" s="3" t="n">
        <v>-94</v>
      </c>
      <c r="M514" s="3" t="n">
        <v>0</v>
      </c>
      <c r="N514" s="3" t="n">
        <v>-7</v>
      </c>
      <c r="O514" s="3" t="n">
        <v>0</v>
      </c>
      <c r="P514" s="3" t="n">
        <v>0</v>
      </c>
      <c r="Q514" s="3">
        <f>SUM(L514:P514)-I514</f>
        <v/>
      </c>
    </row>
    <row r="515">
      <c r="A515" s="2" t="inlineStr">
        <is>
          <t>flynn-perez</t>
        </is>
      </c>
      <c r="B515" s="2" t="inlineStr">
        <is>
          <t>Flynn Perez</t>
        </is>
      </c>
      <c r="C515" s="2" t="inlineStr">
        <is>
          <t>Hawthorn</t>
        </is>
      </c>
      <c r="D515" s="2" t="inlineStr">
        <is>
          <t>SD</t>
        </is>
      </c>
      <c r="E515" s="2" t="n">
        <v>25</v>
      </c>
      <c r="F515" s="2" t="inlineStr">
        <is>
          <t>SSP (pool)</t>
        </is>
      </c>
      <c r="G515" s="3" t="n">
        <v>113</v>
      </c>
      <c r="H515" s="3" t="n">
        <v>113</v>
      </c>
      <c r="I515" s="3">
        <f>H515-G515</f>
        <v/>
      </c>
      <c r="J515" s="4">
        <f>IF(G515=0,"",(H515-G515)/G515)</f>
        <v/>
      </c>
      <c r="K515" s="4">
        <f>IF(G515=0,"",(H515-G515*0.891738)/(G515*0.891738))</f>
        <v/>
      </c>
      <c r="L515" s="3" t="n">
        <v>0</v>
      </c>
      <c r="M515" s="3" t="n">
        <v>0</v>
      </c>
      <c r="N515" s="3" t="n">
        <v>0</v>
      </c>
      <c r="O515" s="3" t="n">
        <v>0</v>
      </c>
      <c r="P515" s="3" t="n">
        <v>0</v>
      </c>
      <c r="Q515" s="3">
        <f>SUM(L515:P515)-I515</f>
        <v/>
      </c>
    </row>
    <row r="516">
      <c r="A516" s="2" t="inlineStr">
        <is>
          <t>jake-lever</t>
        </is>
      </c>
      <c r="B516" s="2" t="inlineStr">
        <is>
          <t>Jake Lever</t>
        </is>
      </c>
      <c r="C516" s="2" t="inlineStr">
        <is>
          <t>Melbourne</t>
        </is>
      </c>
      <c r="D516" s="2" t="inlineStr">
        <is>
          <t>KPD</t>
        </is>
      </c>
      <c r="E516" s="2" t="n">
        <v>30</v>
      </c>
      <c r="F516" s="2" t="inlineStr">
        <is>
          <t>National pick 15</t>
        </is>
      </c>
      <c r="G516" s="3" t="n">
        <v>192</v>
      </c>
      <c r="H516" s="3" t="n">
        <v>169</v>
      </c>
      <c r="I516" s="3">
        <f>H516-G516</f>
        <v/>
      </c>
      <c r="J516" s="4">
        <f>IF(G516=0,"",(H516-G516)/G516)</f>
        <v/>
      </c>
      <c r="K516" s="4">
        <f>IF(G516=0,"",(H516-G516*0.891738)/(G516*0.891738))</f>
        <v/>
      </c>
      <c r="L516" s="3" t="n">
        <v>-2</v>
      </c>
      <c r="M516" s="3" t="n">
        <v>0</v>
      </c>
      <c r="N516" s="3" t="n">
        <v>-21</v>
      </c>
      <c r="O516" s="3" t="n">
        <v>0</v>
      </c>
      <c r="P516" s="3" t="n">
        <v>0</v>
      </c>
      <c r="Q516" s="3">
        <f>SUM(L516:P516)-I516</f>
        <v/>
      </c>
    </row>
    <row r="517">
      <c r="A517" s="2" t="inlineStr">
        <is>
          <t>zac-taylor</t>
        </is>
      </c>
      <c r="B517" s="2" t="inlineStr">
        <is>
          <t>Zac Taylor</t>
        </is>
      </c>
      <c r="C517" s="2" t="inlineStr">
        <is>
          <t>Adelaide</t>
        </is>
      </c>
      <c r="D517" s="2" t="inlineStr">
        <is>
          <t>SF</t>
        </is>
      </c>
      <c r="E517" s="2" t="n">
        <v>23</v>
      </c>
      <c r="F517" s="2" t="inlineStr">
        <is>
          <t>National pick 44</t>
        </is>
      </c>
      <c r="G517" s="3" t="n">
        <v>254</v>
      </c>
      <c r="H517" s="3" t="n">
        <v>185</v>
      </c>
      <c r="I517" s="3">
        <f>H517-G517</f>
        <v/>
      </c>
      <c r="J517" s="4">
        <f>IF(G517=0,"",(H517-G517)/G517)</f>
        <v/>
      </c>
      <c r="K517" s="4">
        <f>IF(G517=0,"",(H517-G517*0.891738)/(G517*0.891738))</f>
        <v/>
      </c>
      <c r="L517" s="3" t="n">
        <v>-46</v>
      </c>
      <c r="M517" s="3" t="n">
        <v>0</v>
      </c>
      <c r="N517" s="3" t="n">
        <v>-23</v>
      </c>
      <c r="O517" s="3" t="n">
        <v>0</v>
      </c>
      <c r="P517" s="3" t="n">
        <v>0</v>
      </c>
      <c r="Q517" s="3">
        <f>SUM(L517:P517)-I517</f>
        <v/>
      </c>
    </row>
    <row r="518">
      <c r="A518" s="2" t="inlineStr">
        <is>
          <t>connor-budarick</t>
        </is>
      </c>
      <c r="B518" s="2" t="inlineStr">
        <is>
          <t>Connor Budarick</t>
        </is>
      </c>
      <c r="C518" s="2" t="inlineStr">
        <is>
          <t>Western Bulldogs</t>
        </is>
      </c>
      <c r="D518" s="2" t="inlineStr">
        <is>
          <t>SD</t>
        </is>
      </c>
      <c r="E518" s="2" t="n">
        <v>25</v>
      </c>
      <c r="F518" s="2" t="inlineStr">
        <is>
          <t>Rookie pick 9</t>
        </is>
      </c>
      <c r="G518" s="3" t="n">
        <v>284</v>
      </c>
      <c r="H518" s="3" t="n">
        <v>246</v>
      </c>
      <c r="I518" s="3">
        <f>H518-G518</f>
        <v/>
      </c>
      <c r="J518" s="4">
        <f>IF(G518=0,"",(H518-G518)/G518)</f>
        <v/>
      </c>
      <c r="K518" s="4">
        <f>IF(G518=0,"",(H518-G518*0.891738)/(G518*0.891738))</f>
        <v/>
      </c>
      <c r="L518" s="3" t="n">
        <v>-8</v>
      </c>
      <c r="M518" s="3" t="n">
        <v>0</v>
      </c>
      <c r="N518" s="3" t="n">
        <v>-30</v>
      </c>
      <c r="O518" s="3" t="n">
        <v>0</v>
      </c>
      <c r="P518" s="3" t="n">
        <v>0</v>
      </c>
      <c r="Q518" s="3">
        <f>SUM(L518:P518)-I518</f>
        <v/>
      </c>
    </row>
    <row r="519">
      <c r="A519" s="2" t="inlineStr">
        <is>
          <t>jai-serong</t>
        </is>
      </c>
      <c r="B519" s="2" t="inlineStr">
        <is>
          <t>Jai Serong</t>
        </is>
      </c>
      <c r="C519" s="2" t="inlineStr">
        <is>
          <t>Sydney</t>
        </is>
      </c>
      <c r="D519" s="2" t="inlineStr">
        <is>
          <t>SD</t>
        </is>
      </c>
      <c r="E519" s="2" t="n">
        <v>23</v>
      </c>
      <c r="F519" s="2" t="inlineStr">
        <is>
          <t>National pick 53</t>
        </is>
      </c>
      <c r="G519" s="3" t="n">
        <v>981</v>
      </c>
      <c r="H519" s="3" t="n">
        <v>861</v>
      </c>
      <c r="I519" s="3">
        <f>H519-G519</f>
        <v/>
      </c>
      <c r="J519" s="4">
        <f>IF(G519=0,"",(H519-G519)/G519)</f>
        <v/>
      </c>
      <c r="K519" s="4">
        <f>IF(G519=0,"",(H519-G519*0.891738)/(G519*0.891738))</f>
        <v/>
      </c>
      <c r="L519" s="3" t="n">
        <v>-16</v>
      </c>
      <c r="M519" s="3" t="n">
        <v>0</v>
      </c>
      <c r="N519" s="3" t="n">
        <v>-104</v>
      </c>
      <c r="O519" s="3" t="n">
        <v>0</v>
      </c>
      <c r="P519" s="3" t="n">
        <v>0</v>
      </c>
      <c r="Q519" s="3">
        <f>SUM(L519:P519)-I519</f>
        <v/>
      </c>
    </row>
    <row r="520">
      <c r="A520" s="2" t="inlineStr">
        <is>
          <t>oscar-allen</t>
        </is>
      </c>
      <c r="B520" s="2" t="inlineStr">
        <is>
          <t>Oscar Allen</t>
        </is>
      </c>
      <c r="C520" s="2" t="inlineStr">
        <is>
          <t>West Coast</t>
        </is>
      </c>
      <c r="D520" s="2" t="inlineStr">
        <is>
          <t>KPF</t>
        </is>
      </c>
      <c r="E520" s="2" t="n">
        <v>27</v>
      </c>
      <c r="F520" s="2" t="inlineStr">
        <is>
          <t>National pick 21</t>
        </is>
      </c>
      <c r="G520" s="3" t="n">
        <v>115</v>
      </c>
      <c r="H520" s="3" t="n">
        <v>101</v>
      </c>
      <c r="I520" s="3">
        <f>H520-G520</f>
        <v/>
      </c>
      <c r="J520" s="4">
        <f>IF(G520=0,"",(H520-G520)/G520)</f>
        <v/>
      </c>
      <c r="K520" s="4">
        <f>IF(G520=0,"",(H520-G520*0.891738)/(G520*0.891738))</f>
        <v/>
      </c>
      <c r="L520" s="3" t="n">
        <v>-2</v>
      </c>
      <c r="M520" s="3" t="n">
        <v>-1</v>
      </c>
      <c r="N520" s="3" t="n">
        <v>-11</v>
      </c>
      <c r="O520" s="3" t="n">
        <v>0</v>
      </c>
      <c r="P520" s="3" t="n">
        <v>0</v>
      </c>
      <c r="Q520" s="3">
        <f>SUM(L520:P520)-I520</f>
        <v/>
      </c>
    </row>
    <row r="521">
      <c r="A521" s="2" t="inlineStr">
        <is>
          <t>lachlan-blakiston</t>
        </is>
      </c>
      <c r="B521" s="2" t="inlineStr">
        <is>
          <t>Lachlan Blakiston</t>
        </is>
      </c>
      <c r="C521" s="2" t="inlineStr">
        <is>
          <t>Essendon</t>
        </is>
      </c>
      <c r="D521" s="2" t="inlineStr">
        <is>
          <t>KPD</t>
        </is>
      </c>
      <c r="E521" s="2" t="n">
        <v>28</v>
      </c>
      <c r="F521" s="2" t="inlineStr">
        <is>
          <t>Mid-Season pick 12</t>
        </is>
      </c>
      <c r="G521" s="3" t="n">
        <v>128</v>
      </c>
      <c r="H521" s="3" t="n">
        <v>128</v>
      </c>
      <c r="I521" s="3">
        <f>H521-G521</f>
        <v/>
      </c>
      <c r="J521" s="4">
        <f>IF(G521=0,"",(H521-G521)/G521)</f>
        <v/>
      </c>
      <c r="K521" s="4">
        <f>IF(G521=0,"",(H521-G521*0.891738)/(G521*0.891738))</f>
        <v/>
      </c>
      <c r="L521" s="3" t="n">
        <v>0</v>
      </c>
      <c r="M521" s="3" t="n">
        <v>0</v>
      </c>
      <c r="N521" s="3" t="n">
        <v>0</v>
      </c>
      <c r="O521" s="3" t="n">
        <v>0</v>
      </c>
      <c r="P521" s="3" t="n">
        <v>0</v>
      </c>
      <c r="Q521" s="3">
        <f>SUM(L521:P521)-I521</f>
        <v/>
      </c>
    </row>
    <row r="522">
      <c r="A522" s="2" t="inlineStr">
        <is>
          <t>mabior-chol</t>
        </is>
      </c>
      <c r="B522" s="2" t="inlineStr">
        <is>
          <t>Mabior Chol</t>
        </is>
      </c>
      <c r="C522" s="2" t="inlineStr">
        <is>
          <t>Hawthorn</t>
        </is>
      </c>
      <c r="D522" s="2" t="inlineStr">
        <is>
          <t>KPF</t>
        </is>
      </c>
      <c r="E522" s="2" t="n">
        <v>29</v>
      </c>
      <c r="F522" s="2" t="inlineStr">
        <is>
          <t>Rookie pick 25</t>
        </is>
      </c>
      <c r="G522" s="3" t="n">
        <v>367</v>
      </c>
      <c r="H522" s="3" t="n">
        <v>315</v>
      </c>
      <c r="I522" s="3">
        <f>H522-G522</f>
        <v/>
      </c>
      <c r="J522" s="4">
        <f>IF(G522=0,"",(H522-G522)/G522)</f>
        <v/>
      </c>
      <c r="K522" s="4">
        <f>IF(G522=0,"",(H522-G522*0.891738)/(G522*0.891738))</f>
        <v/>
      </c>
      <c r="L522" s="3" t="n">
        <v>-6</v>
      </c>
      <c r="M522" s="3" t="n">
        <v>-8</v>
      </c>
      <c r="N522" s="3" t="n">
        <v>-38</v>
      </c>
      <c r="O522" s="3" t="n">
        <v>0</v>
      </c>
      <c r="P522" s="3" t="n">
        <v>0</v>
      </c>
      <c r="Q522" s="3">
        <f>SUM(L522:P522)-I522</f>
        <v/>
      </c>
    </row>
    <row r="523">
      <c r="A523" s="2" t="inlineStr">
        <is>
          <t>jayden-nguyen</t>
        </is>
      </c>
      <c r="B523" s="2" t="inlineStr">
        <is>
          <t>Jayden Nguyen</t>
        </is>
      </c>
      <c r="C523" s="2" t="inlineStr">
        <is>
          <t>GWS</t>
        </is>
      </c>
      <c r="D523" s="2" t="inlineStr">
        <is>
          <t>SD</t>
        </is>
      </c>
      <c r="E523" s="2" t="n">
        <v>20</v>
      </c>
      <c r="F523" s="2" t="inlineStr">
        <is>
          <t>Post-Draft - Next Gen (pool)</t>
        </is>
      </c>
      <c r="G523" s="3" t="n">
        <v>438</v>
      </c>
      <c r="H523" s="3" t="n">
        <v>259</v>
      </c>
      <c r="I523" s="3">
        <f>H523-G523</f>
        <v/>
      </c>
      <c r="J523" s="4">
        <f>IF(G523=0,"",(H523-G523)/G523)</f>
        <v/>
      </c>
      <c r="K523" s="4">
        <f>IF(G523=0,"",(H523-G523*0.891738)/(G523*0.891738))</f>
        <v/>
      </c>
      <c r="L523" s="3" t="n">
        <v>-139</v>
      </c>
      <c r="M523" s="3" t="n">
        <v>0</v>
      </c>
      <c r="N523" s="3" t="n">
        <v>-32</v>
      </c>
      <c r="O523" s="3" t="n">
        <v>-6</v>
      </c>
      <c r="P523" s="3" t="n">
        <v>-2</v>
      </c>
      <c r="Q523" s="3">
        <f>SUM(L523:P523)-I523</f>
        <v/>
      </c>
    </row>
    <row r="524">
      <c r="A524" s="2" t="inlineStr">
        <is>
          <t>james-o-donnell</t>
        </is>
      </c>
      <c r="B524" s="2" t="inlineStr">
        <is>
          <t>James O'Donnell</t>
        </is>
      </c>
      <c r="C524" s="2" t="inlineStr">
        <is>
          <t>Western Bulldogs</t>
        </is>
      </c>
      <c r="D524" s="2" t="inlineStr">
        <is>
          <t>KPD</t>
        </is>
      </c>
      <c r="E524" s="2" t="n">
        <v>24</v>
      </c>
      <c r="F524" s="2" t="inlineStr">
        <is>
          <t>Post-Draft - Unregistered (pool)</t>
        </is>
      </c>
      <c r="G524" s="3" t="n">
        <v>572</v>
      </c>
      <c r="H524" s="3" t="n">
        <v>502</v>
      </c>
      <c r="I524" s="3">
        <f>H524-G524</f>
        <v/>
      </c>
      <c r="J524" s="4">
        <f>IF(G524=0,"",(H524-G524)/G524)</f>
        <v/>
      </c>
      <c r="K524" s="4">
        <f>IF(G524=0,"",(H524-G524*0.891738)/(G524*0.891738))</f>
        <v/>
      </c>
      <c r="L524" s="3" t="n">
        <v>-9</v>
      </c>
      <c r="M524" s="3" t="n">
        <v>0</v>
      </c>
      <c r="N524" s="3" t="n">
        <v>-61</v>
      </c>
      <c r="O524" s="3" t="n">
        <v>0</v>
      </c>
      <c r="P524" s="3" t="n">
        <v>0</v>
      </c>
      <c r="Q524" s="3">
        <f>SUM(L524:P524)-I524</f>
        <v/>
      </c>
    </row>
    <row r="525">
      <c r="A525" s="2" t="inlineStr">
        <is>
          <t>blake-howes</t>
        </is>
      </c>
      <c r="B525" s="2" t="inlineStr">
        <is>
          <t>Blake Howes</t>
        </is>
      </c>
      <c r="C525" s="2" t="inlineStr">
        <is>
          <t>Melbourne</t>
        </is>
      </c>
      <c r="D525" s="2" t="inlineStr">
        <is>
          <t>SD</t>
        </is>
      </c>
      <c r="E525" s="2" t="n">
        <v>23</v>
      </c>
      <c r="F525" s="2" t="inlineStr">
        <is>
          <t>National pick 39</t>
        </is>
      </c>
      <c r="G525" s="3" t="n">
        <v>276</v>
      </c>
      <c r="H525" s="3" t="n">
        <v>239</v>
      </c>
      <c r="I525" s="3">
        <f>H525-G525</f>
        <v/>
      </c>
      <c r="J525" s="4">
        <f>IF(G525=0,"",(H525-G525)/G525)</f>
        <v/>
      </c>
      <c r="K525" s="4">
        <f>IF(G525=0,"",(H525-G525*0.891738)/(G525*0.891738))</f>
        <v/>
      </c>
      <c r="L525" s="3" t="n">
        <v>-7</v>
      </c>
      <c r="M525" s="3" t="n">
        <v>0</v>
      </c>
      <c r="N525" s="3" t="n">
        <v>-30</v>
      </c>
      <c r="O525" s="3" t="n">
        <v>0</v>
      </c>
      <c r="P525" s="3" t="n">
        <v>0</v>
      </c>
      <c r="Q525" s="3">
        <f>SUM(L525:P525)-I525</f>
        <v/>
      </c>
    </row>
    <row r="526">
      <c r="A526" s="2" t="inlineStr">
        <is>
          <t>jaren-carr</t>
        </is>
      </c>
      <c r="B526" s="2" t="inlineStr">
        <is>
          <t>Jaren Carr</t>
        </is>
      </c>
      <c r="C526" s="2" t="inlineStr">
        <is>
          <t>Fremantle</t>
        </is>
      </c>
      <c r="D526" s="2" t="inlineStr">
        <is>
          <t>SF</t>
        </is>
      </c>
      <c r="E526" s="2" t="n">
        <v>22</v>
      </c>
      <c r="F526" s="2" t="inlineStr">
        <is>
          <t>National pick 63</t>
        </is>
      </c>
      <c r="G526" s="3" t="n">
        <v>67</v>
      </c>
      <c r="H526" s="3" t="n">
        <v>64</v>
      </c>
      <c r="I526" s="3">
        <f>H526-G526</f>
        <v/>
      </c>
      <c r="J526" s="4">
        <f>IF(G526=0,"",(H526-G526)/G526)</f>
        <v/>
      </c>
      <c r="K526" s="4">
        <f>IF(G526=0,"",(H526-G526*0.891738)/(G526*0.891738))</f>
        <v/>
      </c>
      <c r="L526" s="3" t="n">
        <v>0</v>
      </c>
      <c r="M526" s="3" t="n">
        <v>0</v>
      </c>
      <c r="N526" s="3" t="n">
        <v>-3</v>
      </c>
      <c r="O526" s="3" t="n">
        <v>0</v>
      </c>
      <c r="P526" s="3" t="n">
        <v>0</v>
      </c>
      <c r="Q526" s="3">
        <f>SUM(L526:P526)-I526</f>
        <v/>
      </c>
    </row>
    <row r="527">
      <c r="A527" s="2" t="inlineStr">
        <is>
          <t>jaxon-artemis</t>
        </is>
      </c>
      <c r="B527" s="2" t="inlineStr">
        <is>
          <t>Jaxon Artemis</t>
        </is>
      </c>
      <c r="C527" s="2" t="inlineStr">
        <is>
          <t>Essendon</t>
        </is>
      </c>
      <c r="D527" s="2" t="inlineStr">
        <is>
          <t>SD</t>
        </is>
      </c>
      <c r="E527" s="2" t="n">
        <v>20</v>
      </c>
      <c r="F527" s="2" t="inlineStr">
        <is>
          <t>Mid-Season pick 1</t>
        </is>
      </c>
      <c r="G527" s="3" t="n">
        <v>305</v>
      </c>
      <c r="H527" s="3" t="n">
        <v>191</v>
      </c>
      <c r="I527" s="3">
        <f>H527-G527</f>
        <v/>
      </c>
      <c r="J527" s="4">
        <f>IF(G527=0,"",(H527-G527)/G527)</f>
        <v/>
      </c>
      <c r="K527" s="4">
        <f>IF(G527=0,"",(H527-G527*0.891738)/(G527*0.891738))</f>
        <v/>
      </c>
      <c r="L527" s="3" t="n">
        <v>-94</v>
      </c>
      <c r="M527" s="3" t="n">
        <v>0</v>
      </c>
      <c r="N527" s="3" t="n">
        <v>-14</v>
      </c>
      <c r="O527" s="3" t="n">
        <v>-4</v>
      </c>
      <c r="P527" s="3" t="n">
        <v>-2</v>
      </c>
      <c r="Q527" s="3">
        <f>SUM(L527:P527)-I527</f>
        <v/>
      </c>
    </row>
    <row r="528">
      <c r="A528" s="2" t="inlineStr">
        <is>
          <t>harvey-johnston</t>
        </is>
      </c>
      <c r="B528" s="2" t="inlineStr">
        <is>
          <t>Harvey Johnston</t>
        </is>
      </c>
      <c r="C528" s="2" t="inlineStr">
        <is>
          <t>West Coast</t>
        </is>
      </c>
      <c r="D528" s="2" t="inlineStr">
        <is>
          <t>SD</t>
        </is>
      </c>
      <c r="E528" s="2" t="n">
        <v>21</v>
      </c>
      <c r="F528" s="2" t="inlineStr">
        <is>
          <t>National pick 49</t>
        </is>
      </c>
      <c r="G528" s="3" t="n">
        <v>296</v>
      </c>
      <c r="H528" s="3" t="n">
        <v>293</v>
      </c>
      <c r="I528" s="3">
        <f>H528-G528</f>
        <v/>
      </c>
      <c r="J528" s="4">
        <f>IF(G528=0,"",(H528-G528)/G528)</f>
        <v/>
      </c>
      <c r="K528" s="4">
        <f>IF(G528=0,"",(H528-G528*0.891738)/(G528*0.891738))</f>
        <v/>
      </c>
      <c r="L528" s="3" t="n">
        <v>32</v>
      </c>
      <c r="M528" s="3" t="n">
        <v>0</v>
      </c>
      <c r="N528" s="3" t="n">
        <v>-35</v>
      </c>
      <c r="O528" s="3" t="n">
        <v>0</v>
      </c>
      <c r="P528" s="3" t="n">
        <v>0</v>
      </c>
      <c r="Q528" s="3">
        <f>SUM(L528:P528)-I528</f>
        <v/>
      </c>
    </row>
    <row r="529">
      <c r="A529" s="2" t="inlineStr">
        <is>
          <t>tom-atkins</t>
        </is>
      </c>
      <c r="B529" s="2" t="inlineStr">
        <is>
          <t>Tom Atkins</t>
        </is>
      </c>
      <c r="C529" s="2" t="inlineStr">
        <is>
          <t>Geelong</t>
        </is>
      </c>
      <c r="D529" s="2" t="inlineStr">
        <is>
          <t>MID</t>
        </is>
      </c>
      <c r="E529" s="2" t="n">
        <v>31</v>
      </c>
      <c r="F529" s="2" t="inlineStr">
        <is>
          <t>Rookie pick 7</t>
        </is>
      </c>
      <c r="G529" s="3" t="n">
        <v>311</v>
      </c>
      <c r="H529" s="3" t="n">
        <v>273</v>
      </c>
      <c r="I529" s="3">
        <f>H529-G529</f>
        <v/>
      </c>
      <c r="J529" s="4">
        <f>IF(G529=0,"",(H529-G529)/G529)</f>
        <v/>
      </c>
      <c r="K529" s="4">
        <f>IF(G529=0,"",(H529-G529*0.891738)/(G529*0.891738))</f>
        <v/>
      </c>
      <c r="L529" s="3" t="n">
        <v>-5</v>
      </c>
      <c r="M529" s="3" t="n">
        <v>0</v>
      </c>
      <c r="N529" s="3" t="n">
        <v>-33</v>
      </c>
      <c r="O529" s="3" t="n">
        <v>0</v>
      </c>
      <c r="P529" s="3" t="n">
        <v>0</v>
      </c>
      <c r="Q529" s="3">
        <f>SUM(L529:P529)-I529</f>
        <v/>
      </c>
    </row>
    <row r="530">
      <c r="A530" s="2" t="inlineStr">
        <is>
          <t>cody-anderson</t>
        </is>
      </c>
      <c r="B530" s="2" t="inlineStr">
        <is>
          <t>Cody Anderson</t>
        </is>
      </c>
      <c r="C530" s="2" t="inlineStr">
        <is>
          <t>Hawthorn</t>
        </is>
      </c>
      <c r="D530" s="2" t="inlineStr">
        <is>
          <t>SF</t>
        </is>
      </c>
      <c r="E530" s="2" t="n">
        <v>20</v>
      </c>
      <c r="F530" s="2" t="inlineStr">
        <is>
          <t>National pick 64</t>
        </is>
      </c>
      <c r="G530" s="3" t="n">
        <v>63</v>
      </c>
      <c r="H530" s="3" t="n">
        <v>62</v>
      </c>
      <c r="I530" s="3">
        <f>H530-G530</f>
        <v/>
      </c>
      <c r="J530" s="4">
        <f>IF(G530=0,"",(H530-G530)/G530)</f>
        <v/>
      </c>
      <c r="K530" s="4">
        <f>IF(G530=0,"",(H530-G530*0.891738)/(G530*0.891738))</f>
        <v/>
      </c>
      <c r="L530" s="3" t="n">
        <v>0</v>
      </c>
      <c r="M530" s="3" t="n">
        <v>0</v>
      </c>
      <c r="N530" s="3" t="n">
        <v>-1</v>
      </c>
      <c r="O530" s="3" t="n">
        <v>0</v>
      </c>
      <c r="P530" s="3" t="n">
        <v>0</v>
      </c>
      <c r="Q530" s="3">
        <f>SUM(L530:P530)-I530</f>
        <v/>
      </c>
    </row>
    <row r="531">
      <c r="A531" s="2" t="inlineStr">
        <is>
          <t>balyn-o-brien</t>
        </is>
      </c>
      <c r="B531" s="2" t="inlineStr">
        <is>
          <t>Balyn O'Brien</t>
        </is>
      </c>
      <c r="C531" s="2" t="inlineStr">
        <is>
          <t>Port Adelaide</t>
        </is>
      </c>
      <c r="D531" s="2" t="inlineStr">
        <is>
          <t>SD</t>
        </is>
      </c>
      <c r="E531" s="2" t="n">
        <v>19</v>
      </c>
      <c r="F531" s="2" t="inlineStr">
        <is>
          <t>SSP (pool)</t>
        </is>
      </c>
      <c r="G531" s="3" t="n">
        <v>282</v>
      </c>
      <c r="H531" s="3" t="n">
        <v>181</v>
      </c>
      <c r="I531" s="3">
        <f>H531-G531</f>
        <v/>
      </c>
      <c r="J531" s="4">
        <f>IF(G531=0,"",(H531-G531)/G531)</f>
        <v/>
      </c>
      <c r="K531" s="4">
        <f>IF(G531=0,"",(H531-G531*0.891738)/(G531*0.891738))</f>
        <v/>
      </c>
      <c r="L531" s="3" t="n">
        <v>-65</v>
      </c>
      <c r="M531" s="3" t="n">
        <v>0</v>
      </c>
      <c r="N531" s="3" t="n">
        <v>-17</v>
      </c>
      <c r="O531" s="3" t="n">
        <v>-9</v>
      </c>
      <c r="P531" s="3" t="n">
        <v>-10</v>
      </c>
      <c r="Q531" s="3">
        <f>SUM(L531:P531)-I531</f>
        <v/>
      </c>
    </row>
    <row r="532">
      <c r="A532" s="2" t="inlineStr">
        <is>
          <t>isaac-keeler</t>
        </is>
      </c>
      <c r="B532" s="2" t="inlineStr">
        <is>
          <t>Isaac Keeler</t>
        </is>
      </c>
      <c r="C532" s="2" t="inlineStr">
        <is>
          <t>St Kilda</t>
        </is>
      </c>
      <c r="D532" s="2" t="inlineStr">
        <is>
          <t>KPF</t>
        </is>
      </c>
      <c r="E532" s="2" t="n">
        <v>22</v>
      </c>
      <c r="F532" s="2" t="inlineStr">
        <is>
          <t>National pick 44</t>
        </is>
      </c>
      <c r="G532" s="3" t="n">
        <v>192</v>
      </c>
      <c r="H532" s="3" t="n">
        <v>188</v>
      </c>
      <c r="I532" s="3">
        <f>H532-G532</f>
        <v/>
      </c>
      <c r="J532" s="4">
        <f>IF(G532=0,"",(H532-G532)/G532)</f>
        <v/>
      </c>
      <c r="K532" s="4">
        <f>IF(G532=0,"",(H532-G532*0.891738)/(G532*0.891738))</f>
        <v/>
      </c>
      <c r="L532" s="3" t="n">
        <v>19</v>
      </c>
      <c r="M532" s="3" t="n">
        <v>0</v>
      </c>
      <c r="N532" s="3" t="n">
        <v>-23</v>
      </c>
      <c r="O532" s="3" t="n">
        <v>0</v>
      </c>
      <c r="P532" s="3" t="n">
        <v>0</v>
      </c>
      <c r="Q532" s="3">
        <f>SUM(L532:P532)-I532</f>
        <v/>
      </c>
    </row>
    <row r="533">
      <c r="A533" s="2" t="inlineStr">
        <is>
          <t>braeden-campbell</t>
        </is>
      </c>
      <c r="B533" s="2" t="inlineStr">
        <is>
          <t>Braeden Campbell</t>
        </is>
      </c>
      <c r="C533" s="2" t="inlineStr">
        <is>
          <t>Sydney</t>
        </is>
      </c>
      <c r="D533" s="2" t="inlineStr">
        <is>
          <t>SD</t>
        </is>
      </c>
      <c r="E533" s="2" t="n">
        <v>24</v>
      </c>
      <c r="F533" s="2" t="inlineStr">
        <is>
          <t>National pick 5</t>
        </is>
      </c>
      <c r="G533" s="3" t="n">
        <v>345</v>
      </c>
      <c r="H533" s="3" t="n">
        <v>302</v>
      </c>
      <c r="I533" s="3">
        <f>H533-G533</f>
        <v/>
      </c>
      <c r="J533" s="4">
        <f>IF(G533=0,"",(H533-G533)/G533)</f>
        <v/>
      </c>
      <c r="K533" s="4">
        <f>IF(G533=0,"",(H533-G533*0.891738)/(G533*0.891738))</f>
        <v/>
      </c>
      <c r="L533" s="3" t="n">
        <v>-5</v>
      </c>
      <c r="M533" s="3" t="n">
        <v>0</v>
      </c>
      <c r="N533" s="3" t="n">
        <v>-38</v>
      </c>
      <c r="O533" s="3" t="n">
        <v>0</v>
      </c>
      <c r="P533" s="3" t="n">
        <v>0</v>
      </c>
      <c r="Q533" s="3">
        <f>SUM(L533:P533)-I533</f>
        <v/>
      </c>
    </row>
    <row r="534">
      <c r="A534" s="2" t="inlineStr">
        <is>
          <t>paddy-cross</t>
        </is>
      </c>
      <c r="B534" s="2" t="inlineStr">
        <is>
          <t>Paddy Cross</t>
        </is>
      </c>
      <c r="C534" s="2" t="inlineStr">
        <is>
          <t>Melbourne</t>
        </is>
      </c>
      <c r="D534" s="2" t="inlineStr">
        <is>
          <t>SF</t>
        </is>
      </c>
      <c r="E534" s="2" t="n">
        <v>23</v>
      </c>
      <c r="F534" s="2" t="inlineStr">
        <is>
          <t>SSP (pool)</t>
        </is>
      </c>
      <c r="G534" s="3" t="n">
        <v>113</v>
      </c>
      <c r="H534" s="3" t="n">
        <v>113</v>
      </c>
      <c r="I534" s="3">
        <f>H534-G534</f>
        <v/>
      </c>
      <c r="J534" s="4">
        <f>IF(G534=0,"",(H534-G534)/G534)</f>
        <v/>
      </c>
      <c r="K534" s="4">
        <f>IF(G534=0,"",(H534-G534*0.891738)/(G534*0.891738))</f>
        <v/>
      </c>
      <c r="L534" s="3" t="n">
        <v>0</v>
      </c>
      <c r="M534" s="3" t="n">
        <v>0</v>
      </c>
      <c r="N534" s="3" t="n">
        <v>0</v>
      </c>
      <c r="O534" s="3" t="n">
        <v>0</v>
      </c>
      <c r="P534" s="3" t="n">
        <v>0</v>
      </c>
      <c r="Q534" s="3">
        <f>SUM(L534:P534)-I534</f>
        <v/>
      </c>
    </row>
    <row r="535">
      <c r="A535" s="2" t="inlineStr">
        <is>
          <t>chris-scerri</t>
        </is>
      </c>
      <c r="B535" s="2" t="inlineStr">
        <is>
          <t>Chris Scerri</t>
        </is>
      </c>
      <c r="C535" s="2" t="inlineStr">
        <is>
          <t>Fremantle</t>
        </is>
      </c>
      <c r="D535" s="2" t="inlineStr">
        <is>
          <t>SF</t>
        </is>
      </c>
      <c r="E535" s="2" t="n">
        <v>20</v>
      </c>
      <c r="F535" s="2" t="inlineStr">
        <is>
          <t>SSP (pool)</t>
        </is>
      </c>
      <c r="G535" s="3" t="n">
        <v>302</v>
      </c>
      <c r="H535" s="3" t="n">
        <v>146</v>
      </c>
      <c r="I535" s="3">
        <f>H535-G535</f>
        <v/>
      </c>
      <c r="J535" s="4">
        <f>IF(G535=0,"",(H535-G535)/G535)</f>
        <v/>
      </c>
      <c r="K535" s="4">
        <f>IF(G535=0,"",(H535-G535*0.891738)/(G535*0.891738))</f>
        <v/>
      </c>
      <c r="L535" s="3" t="n">
        <v>-138</v>
      </c>
      <c r="M535" s="3" t="n">
        <v>0</v>
      </c>
      <c r="N535" s="3" t="n">
        <v>-18</v>
      </c>
      <c r="O535" s="3" t="n">
        <v>0</v>
      </c>
      <c r="P535" s="3" t="n">
        <v>0</v>
      </c>
      <c r="Q535" s="3">
        <f>SUM(L535:P535)-I535</f>
        <v/>
      </c>
    </row>
    <row r="536">
      <c r="A536" s="2" t="inlineStr">
        <is>
          <t>mykelti-lefau</t>
        </is>
      </c>
      <c r="B536" s="2" t="inlineStr">
        <is>
          <t>Mykelti Lefau</t>
        </is>
      </c>
      <c r="C536" s="2" t="inlineStr">
        <is>
          <t>Richmond</t>
        </is>
      </c>
      <c r="D536" s="2" t="inlineStr">
        <is>
          <t>KPF</t>
        </is>
      </c>
      <c r="E536" s="2" t="n">
        <v>28</v>
      </c>
      <c r="F536" s="2" t="inlineStr">
        <is>
          <t>SSP (pool)</t>
        </is>
      </c>
      <c r="G536" s="3" t="n">
        <v>70</v>
      </c>
      <c r="H536" s="3" t="n">
        <v>70</v>
      </c>
      <c r="I536" s="3">
        <f>H536-G536</f>
        <v/>
      </c>
      <c r="J536" s="4">
        <f>IF(G536=0,"",(H536-G536)/G536)</f>
        <v/>
      </c>
      <c r="K536" s="4">
        <f>IF(G536=0,"",(H536-G536*0.891738)/(G536*0.891738))</f>
        <v/>
      </c>
      <c r="L536" s="3" t="n">
        <v>0</v>
      </c>
      <c r="M536" s="3" t="n">
        <v>0</v>
      </c>
      <c r="N536" s="3" t="n">
        <v>0</v>
      </c>
      <c r="O536" s="3" t="n">
        <v>0</v>
      </c>
      <c r="P536" s="3" t="n">
        <v>0</v>
      </c>
      <c r="Q536" s="3">
        <f>SUM(L536:P536)-I536</f>
        <v/>
      </c>
    </row>
    <row r="537">
      <c r="A537" s="2" t="inlineStr">
        <is>
          <t>ewan-mackinlay</t>
        </is>
      </c>
      <c r="B537" s="2" t="inlineStr">
        <is>
          <t>Ewan Mackinlay</t>
        </is>
      </c>
      <c r="C537" s="2" t="inlineStr">
        <is>
          <t>Port Adelaide</t>
        </is>
      </c>
      <c r="D537" s="2" t="inlineStr">
        <is>
          <t>SF</t>
        </is>
      </c>
      <c r="E537" s="2" t="n">
        <v>23</v>
      </c>
      <c r="F537" s="2" t="inlineStr">
        <is>
          <t>Mid-Season pick 10</t>
        </is>
      </c>
      <c r="G537" s="3" t="n">
        <v>128</v>
      </c>
      <c r="H537" s="3" t="n">
        <v>128</v>
      </c>
      <c r="I537" s="3">
        <f>H537-G537</f>
        <v/>
      </c>
      <c r="J537" s="4">
        <f>IF(G537=0,"",(H537-G537)/G537)</f>
        <v/>
      </c>
      <c r="K537" s="4">
        <f>IF(G537=0,"",(H537-G537*0.891738)/(G537*0.891738))</f>
        <v/>
      </c>
      <c r="L537" s="3" t="n">
        <v>0</v>
      </c>
      <c r="M537" s="3" t="n">
        <v>0</v>
      </c>
      <c r="N537" s="3" t="n">
        <v>0</v>
      </c>
      <c r="O537" s="3" t="n">
        <v>0</v>
      </c>
      <c r="P537" s="3" t="n">
        <v>0</v>
      </c>
      <c r="Q537" s="3">
        <f>SUM(L537:P537)-I537</f>
        <v/>
      </c>
    </row>
    <row r="538">
      <c r="A538" s="2" t="inlineStr">
        <is>
          <t>tylar-young</t>
        </is>
      </c>
      <c r="B538" s="2" t="inlineStr">
        <is>
          <t>Tylar Young</t>
        </is>
      </c>
      <c r="C538" s="2" t="inlineStr">
        <is>
          <t>West Coast</t>
        </is>
      </c>
      <c r="D538" s="2" t="inlineStr">
        <is>
          <t>KPD</t>
        </is>
      </c>
      <c r="E538" s="2" t="n">
        <v>28</v>
      </c>
      <c r="F538" s="2" t="inlineStr">
        <is>
          <t>Rookie pick 9</t>
        </is>
      </c>
      <c r="G538" s="3" t="n">
        <v>221</v>
      </c>
      <c r="H538" s="3" t="n">
        <v>181</v>
      </c>
      <c r="I538" s="3">
        <f>H538-G538</f>
        <v/>
      </c>
      <c r="J538" s="4">
        <f>IF(G538=0,"",(H538-G538)/G538)</f>
        <v/>
      </c>
      <c r="K538" s="4">
        <f>IF(G538=0,"",(H538-G538*0.891738)/(G538*0.891738))</f>
        <v/>
      </c>
      <c r="L538" s="3" t="n">
        <v>-17</v>
      </c>
      <c r="M538" s="3" t="n">
        <v>0</v>
      </c>
      <c r="N538" s="3" t="n">
        <v>-23</v>
      </c>
      <c r="O538" s="3" t="n">
        <v>0</v>
      </c>
      <c r="P538" s="3" t="n">
        <v>0</v>
      </c>
      <c r="Q538" s="3">
        <f>SUM(L538:P538)-I538</f>
        <v/>
      </c>
    </row>
    <row r="539">
      <c r="A539" s="2" t="inlineStr">
        <is>
          <t>tom-papley</t>
        </is>
      </c>
      <c r="B539" s="2" t="inlineStr">
        <is>
          <t>Tom Papley</t>
        </is>
      </c>
      <c r="C539" s="2" t="inlineStr">
        <is>
          <t>Sydney</t>
        </is>
      </c>
      <c r="D539" s="2" t="inlineStr">
        <is>
          <t>SF</t>
        </is>
      </c>
      <c r="E539" s="2" t="n">
        <v>30</v>
      </c>
      <c r="F539" s="2" t="inlineStr">
        <is>
          <t>Rookie pick 11</t>
        </is>
      </c>
      <c r="G539" s="3" t="n">
        <v>313</v>
      </c>
      <c r="H539" s="3" t="n">
        <v>275</v>
      </c>
      <c r="I539" s="3">
        <f>H539-G539</f>
        <v/>
      </c>
      <c r="J539" s="4">
        <f>IF(G539=0,"",(H539-G539)/G539)</f>
        <v/>
      </c>
      <c r="K539" s="4">
        <f>IF(G539=0,"",(H539-G539*0.891738)/(G539*0.891738))</f>
        <v/>
      </c>
      <c r="L539" s="3" t="n">
        <v>-5</v>
      </c>
      <c r="M539" s="3" t="n">
        <v>0</v>
      </c>
      <c r="N539" s="3" t="n">
        <v>-33</v>
      </c>
      <c r="O539" s="3" t="n">
        <v>0</v>
      </c>
      <c r="P539" s="3" t="n">
        <v>0</v>
      </c>
      <c r="Q539" s="3">
        <f>SUM(L539:P539)-I539</f>
        <v/>
      </c>
    </row>
    <row r="540">
      <c r="A540" s="2" t="inlineStr">
        <is>
          <t>ben-jepson</t>
        </is>
      </c>
      <c r="B540" s="2" t="inlineStr">
        <is>
          <t>Ben Jepson</t>
        </is>
      </c>
      <c r="C540" s="2" t="inlineStr">
        <is>
          <t>Gold Coast</t>
        </is>
      </c>
      <c r="D540" s="2" t="inlineStr">
        <is>
          <t>MID</t>
        </is>
      </c>
      <c r="E540" s="2" t="n">
        <v>25</v>
      </c>
      <c r="F540" s="2" t="inlineStr">
        <is>
          <t>SSP (pool)</t>
        </is>
      </c>
      <c r="G540" s="3" t="n">
        <v>88</v>
      </c>
      <c r="H540" s="3" t="n">
        <v>88</v>
      </c>
      <c r="I540" s="3">
        <f>H540-G540</f>
        <v/>
      </c>
      <c r="J540" s="4">
        <f>IF(G540=0,"",(H540-G540)/G540)</f>
        <v/>
      </c>
      <c r="K540" s="4">
        <f>IF(G540=0,"",(H540-G540*0.891738)/(G540*0.891738))</f>
        <v/>
      </c>
      <c r="L540" s="3" t="n">
        <v>0</v>
      </c>
      <c r="M540" s="3" t="n">
        <v>0</v>
      </c>
      <c r="N540" s="3" t="n">
        <v>0</v>
      </c>
      <c r="O540" s="3" t="n">
        <v>0</v>
      </c>
      <c r="P540" s="3" t="n">
        <v>0</v>
      </c>
      <c r="Q540" s="3">
        <f>SUM(L540:P540)-I540</f>
        <v/>
      </c>
    </row>
    <row r="541">
      <c r="A541" s="2" t="inlineStr">
        <is>
          <t>liam-baker</t>
        </is>
      </c>
      <c r="B541" s="2" t="inlineStr">
        <is>
          <t>Liam Baker</t>
        </is>
      </c>
      <c r="C541" s="2" t="inlineStr">
        <is>
          <t>West Coast</t>
        </is>
      </c>
      <c r="D541" s="2" t="inlineStr">
        <is>
          <t>SD</t>
        </is>
      </c>
      <c r="E541" s="2" t="n">
        <v>28</v>
      </c>
      <c r="F541" s="2" t="inlineStr">
        <is>
          <t>Rookie pick 11</t>
        </is>
      </c>
      <c r="G541" s="3" t="n">
        <v>427</v>
      </c>
      <c r="H541" s="3" t="n">
        <v>375</v>
      </c>
      <c r="I541" s="3">
        <f>H541-G541</f>
        <v/>
      </c>
      <c r="J541" s="4">
        <f>IF(G541=0,"",(H541-G541)/G541)</f>
        <v/>
      </c>
      <c r="K541" s="4">
        <f>IF(G541=0,"",(H541-G541*0.891738)/(G541*0.891738))</f>
        <v/>
      </c>
      <c r="L541" s="3" t="n">
        <v>-7</v>
      </c>
      <c r="M541" s="3" t="n">
        <v>0</v>
      </c>
      <c r="N541" s="3" t="n">
        <v>-45</v>
      </c>
      <c r="O541" s="3" t="n">
        <v>0</v>
      </c>
      <c r="P541" s="3" t="n">
        <v>0</v>
      </c>
      <c r="Q541" s="3">
        <f>SUM(L541:P541)-I541</f>
        <v/>
      </c>
    </row>
    <row r="542">
      <c r="A542" s="2" t="inlineStr">
        <is>
          <t>noah-balta</t>
        </is>
      </c>
      <c r="B542" s="2" t="inlineStr">
        <is>
          <t>Noah Balta</t>
        </is>
      </c>
      <c r="C542" s="2" t="inlineStr">
        <is>
          <t>Richmond</t>
        </is>
      </c>
      <c r="D542" s="2" t="inlineStr">
        <is>
          <t>KPF</t>
        </is>
      </c>
      <c r="E542" s="2" t="n">
        <v>27</v>
      </c>
      <c r="F542" s="2" t="inlineStr">
        <is>
          <t>National pick 25</t>
        </is>
      </c>
      <c r="G542" s="3" t="n">
        <v>425</v>
      </c>
      <c r="H542" s="3" t="n">
        <v>373</v>
      </c>
      <c r="I542" s="3">
        <f>H542-G542</f>
        <v/>
      </c>
      <c r="J542" s="4">
        <f>IF(G542=0,"",(H542-G542)/G542)</f>
        <v/>
      </c>
      <c r="K542" s="4">
        <f>IF(G542=0,"",(H542-G542*0.891738)/(G542*0.891738))</f>
        <v/>
      </c>
      <c r="L542" s="3" t="n">
        <v>-6</v>
      </c>
      <c r="M542" s="3" t="n">
        <v>0</v>
      </c>
      <c r="N542" s="3" t="n">
        <v>-46</v>
      </c>
      <c r="O542" s="3" t="n">
        <v>0</v>
      </c>
      <c r="P542" s="3" t="n">
        <v>0</v>
      </c>
      <c r="Q542" s="3">
        <f>SUM(L542:P542)-I542</f>
        <v/>
      </c>
    </row>
    <row r="543">
      <c r="A543" s="2" t="inlineStr">
        <is>
          <t>will-lewis</t>
        </is>
      </c>
      <c r="B543" s="2" t="inlineStr">
        <is>
          <t>Will Lewis</t>
        </is>
      </c>
      <c r="C543" s="2" t="inlineStr">
        <is>
          <t>Western Bulldogs</t>
        </is>
      </c>
      <c r="D543" s="2" t="inlineStr">
        <is>
          <t>KPF</t>
        </is>
      </c>
      <c r="E543" s="2" t="n">
        <v>27</v>
      </c>
      <c r="F543" s="2" t="inlineStr">
        <is>
          <t>SSP (pool)</t>
        </is>
      </c>
      <c r="G543" s="3" t="n">
        <v>113</v>
      </c>
      <c r="H543" s="3" t="n">
        <v>113</v>
      </c>
      <c r="I543" s="3">
        <f>H543-G543</f>
        <v/>
      </c>
      <c r="J543" s="4">
        <f>IF(G543=0,"",(H543-G543)/G543)</f>
        <v/>
      </c>
      <c r="K543" s="4">
        <f>IF(G543=0,"",(H543-G543*0.891738)/(G543*0.891738))</f>
        <v/>
      </c>
      <c r="L543" s="3" t="n">
        <v>0</v>
      </c>
      <c r="M543" s="3" t="n">
        <v>0</v>
      </c>
      <c r="N543" s="3" t="n">
        <v>0</v>
      </c>
      <c r="O543" s="3" t="n">
        <v>0</v>
      </c>
      <c r="P543" s="3" t="n">
        <v>0</v>
      </c>
      <c r="Q543" s="3">
        <f>SUM(L543:P543)-I543</f>
        <v/>
      </c>
    </row>
    <row r="544">
      <c r="A544" s="2" t="inlineStr">
        <is>
          <t>steely-green</t>
        </is>
      </c>
      <c r="B544" s="2" t="inlineStr">
        <is>
          <t>Steely Green</t>
        </is>
      </c>
      <c r="C544" s="2" t="inlineStr">
        <is>
          <t>Richmond</t>
        </is>
      </c>
      <c r="D544" s="2" t="inlineStr">
        <is>
          <t>SF</t>
        </is>
      </c>
      <c r="E544" s="2" t="n">
        <v>22</v>
      </c>
      <c r="F544" s="2" t="inlineStr">
        <is>
          <t>National pick 55</t>
        </is>
      </c>
      <c r="G544" s="3" t="n">
        <v>150</v>
      </c>
      <c r="H544" s="3" t="n">
        <v>125</v>
      </c>
      <c r="I544" s="3">
        <f>H544-G544</f>
        <v/>
      </c>
      <c r="J544" s="4">
        <f>IF(G544=0,"",(H544-G544)/G544)</f>
        <v/>
      </c>
      <c r="K544" s="4">
        <f>IF(G544=0,"",(H544-G544*0.891738)/(G544*0.891738))</f>
        <v/>
      </c>
      <c r="L544" s="3" t="n">
        <v>-9</v>
      </c>
      <c r="M544" s="3" t="n">
        <v>0</v>
      </c>
      <c r="N544" s="3" t="n">
        <v>-16</v>
      </c>
      <c r="O544" s="3" t="n">
        <v>0</v>
      </c>
      <c r="P544" s="3" t="n">
        <v>0</v>
      </c>
      <c r="Q544" s="3">
        <f>SUM(L544:P544)-I544</f>
        <v/>
      </c>
    </row>
    <row r="545">
      <c r="A545" s="2" t="inlineStr">
        <is>
          <t>mitch-zadow</t>
        </is>
      </c>
      <c r="B545" s="2" t="inlineStr">
        <is>
          <t>Mitch Zadow</t>
        </is>
      </c>
      <c r="C545" s="2" t="inlineStr">
        <is>
          <t>Port Adelaide</t>
        </is>
      </c>
      <c r="D545" s="2" t="inlineStr">
        <is>
          <t>SF</t>
        </is>
      </c>
      <c r="E545" s="2" t="n">
        <v>22</v>
      </c>
      <c r="F545" s="2" t="inlineStr">
        <is>
          <t>SSP (pool)</t>
        </is>
      </c>
      <c r="G545" s="3" t="n">
        <v>113</v>
      </c>
      <c r="H545" s="3" t="n">
        <v>113</v>
      </c>
      <c r="I545" s="3">
        <f>H545-G545</f>
        <v/>
      </c>
      <c r="J545" s="4">
        <f>IF(G545=0,"",(H545-G545)/G545)</f>
        <v/>
      </c>
      <c r="K545" s="4">
        <f>IF(G545=0,"",(H545-G545*0.891738)/(G545*0.891738))</f>
        <v/>
      </c>
      <c r="L545" s="3" t="n">
        <v>0</v>
      </c>
      <c r="M545" s="3" t="n">
        <v>0</v>
      </c>
      <c r="N545" s="3" t="n">
        <v>0</v>
      </c>
      <c r="O545" s="3" t="n">
        <v>0</v>
      </c>
      <c r="P545" s="3" t="n">
        <v>0</v>
      </c>
      <c r="Q545" s="3">
        <f>SUM(L545:P545)-I545</f>
        <v/>
      </c>
    </row>
    <row r="546">
      <c r="A546" s="2" t="inlineStr">
        <is>
          <t>xavier-bamert</t>
        </is>
      </c>
      <c r="B546" s="2" t="inlineStr">
        <is>
          <t>Xavier Bamert</t>
        </is>
      </c>
      <c r="C546" s="2" t="inlineStr">
        <is>
          <t>Port Adelaide</t>
        </is>
      </c>
      <c r="D546" s="2" t="inlineStr">
        <is>
          <t>SF</t>
        </is>
      </c>
      <c r="E546" s="2" t="n">
        <v>19</v>
      </c>
      <c r="F546" s="2" t="inlineStr">
        <is>
          <t>Mid-Season pick 5</t>
        </is>
      </c>
      <c r="G546" s="3" t="n">
        <v>375</v>
      </c>
      <c r="H546" s="3" t="n">
        <v>323</v>
      </c>
      <c r="I546" s="3">
        <f>H546-G546</f>
        <v/>
      </c>
      <c r="J546" s="4">
        <f>IF(G546=0,"",(H546-G546)/G546)</f>
        <v/>
      </c>
      <c r="K546" s="4">
        <f>IF(G546=0,"",(H546-G546*0.891738)/(G546*0.891738))</f>
        <v/>
      </c>
      <c r="L546" s="3" t="n">
        <v>-13</v>
      </c>
      <c r="M546" s="3" t="n">
        <v>0</v>
      </c>
      <c r="N546" s="3" t="n">
        <v>-39</v>
      </c>
      <c r="O546" s="3" t="n">
        <v>0</v>
      </c>
      <c r="P546" s="3" t="n">
        <v>0</v>
      </c>
      <c r="Q546" s="3">
        <f>SUM(L546:P546)-I546</f>
        <v/>
      </c>
    </row>
    <row r="547">
      <c r="A547" s="2" t="inlineStr">
        <is>
          <t>jasper-alger</t>
        </is>
      </c>
      <c r="B547" s="2" t="inlineStr">
        <is>
          <t>Jasper Alger</t>
        </is>
      </c>
      <c r="C547" s="2" t="inlineStr">
        <is>
          <t>Richmond</t>
        </is>
      </c>
      <c r="D547" s="2" t="inlineStr">
        <is>
          <t>SF</t>
        </is>
      </c>
      <c r="E547" s="2" t="n">
        <v>20</v>
      </c>
      <c r="F547" s="2" t="inlineStr">
        <is>
          <t>National pick 58</t>
        </is>
      </c>
      <c r="G547" s="3" t="n">
        <v>444</v>
      </c>
      <c r="H547" s="3" t="n">
        <v>245</v>
      </c>
      <c r="I547" s="3">
        <f>H547-G547</f>
        <v/>
      </c>
      <c r="J547" s="4">
        <f>IF(G547=0,"",(H547-G547)/G547)</f>
        <v/>
      </c>
      <c r="K547" s="4">
        <f>IF(G547=0,"",(H547-G547*0.891738)/(G547*0.891738))</f>
        <v/>
      </c>
      <c r="L547" s="3" t="n">
        <v>-169</v>
      </c>
      <c r="M547" s="3" t="n">
        <v>0</v>
      </c>
      <c r="N547" s="3" t="n">
        <v>-30</v>
      </c>
      <c r="O547" s="3" t="n">
        <v>0</v>
      </c>
      <c r="P547" s="3" t="n">
        <v>0</v>
      </c>
      <c r="Q547" s="3">
        <f>SUM(L547:P547)-I547</f>
        <v/>
      </c>
    </row>
    <row r="548">
      <c r="A548" s="2" t="inlineStr">
        <is>
          <t>george-stevens</t>
        </is>
      </c>
      <c r="B548" s="2" t="inlineStr">
        <is>
          <t>George Stevens</t>
        </is>
      </c>
      <c r="C548" s="2" t="inlineStr">
        <is>
          <t>Geelong</t>
        </is>
      </c>
      <c r="D548" s="2" t="inlineStr">
        <is>
          <t>MID</t>
        </is>
      </c>
      <c r="E548" s="2" t="n">
        <v>21</v>
      </c>
      <c r="F548" s="2" t="inlineStr">
        <is>
          <t>National pick 58</t>
        </is>
      </c>
      <c r="G548" s="3" t="n">
        <v>326</v>
      </c>
      <c r="H548" s="3" t="n">
        <v>111</v>
      </c>
      <c r="I548" s="3">
        <f>H548-G548</f>
        <v/>
      </c>
      <c r="J548" s="4">
        <f>IF(G548=0,"",(H548-G548)/G548)</f>
        <v/>
      </c>
      <c r="K548" s="4">
        <f>IF(G548=0,"",(H548-G548*0.891738)/(G548*0.891738))</f>
        <v/>
      </c>
      <c r="L548" s="3" t="n">
        <v>-26</v>
      </c>
      <c r="M548" s="3" t="n">
        <v>0</v>
      </c>
      <c r="N548" s="3" t="n">
        <v>-35</v>
      </c>
      <c r="O548" s="3" t="n">
        <v>-46</v>
      </c>
      <c r="P548" s="3" t="n">
        <v>-108</v>
      </c>
      <c r="Q548" s="3">
        <f>SUM(L548:P548)-I548</f>
        <v/>
      </c>
    </row>
    <row r="549">
      <c r="A549" s="2" t="inlineStr">
        <is>
          <t>campbell-gray</t>
        </is>
      </c>
      <c r="B549" s="2" t="inlineStr">
        <is>
          <t>Campbell Gray</t>
        </is>
      </c>
      <c r="C549" s="2" t="inlineStr">
        <is>
          <t>Richmond</t>
        </is>
      </c>
      <c r="D549" s="2" t="inlineStr">
        <is>
          <t>KPD</t>
        </is>
      </c>
      <c r="E549" s="2" t="n">
        <v>23</v>
      </c>
      <c r="F549" s="2" t="inlineStr">
        <is>
          <t>Mid-Season pick 15</t>
        </is>
      </c>
      <c r="G549" s="3" t="n">
        <v>180</v>
      </c>
      <c r="H549" s="3" t="n">
        <v>131</v>
      </c>
      <c r="I549" s="3">
        <f>H549-G549</f>
        <v/>
      </c>
      <c r="J549" s="4">
        <f>IF(G549=0,"",(H549-G549)/G549)</f>
        <v/>
      </c>
      <c r="K549" s="4">
        <f>IF(G549=0,"",(H549-G549*0.891738)/(G549*0.891738))</f>
        <v/>
      </c>
      <c r="L549" s="3" t="n">
        <v>-34</v>
      </c>
      <c r="M549" s="3" t="n">
        <v>0</v>
      </c>
      <c r="N549" s="3" t="n">
        <v>-15</v>
      </c>
      <c r="O549" s="3" t="n">
        <v>0</v>
      </c>
      <c r="P549" s="3" t="n">
        <v>0</v>
      </c>
      <c r="Q549" s="3">
        <f>SUM(L549:P549)-I549</f>
        <v/>
      </c>
    </row>
    <row r="550">
      <c r="A550" s="2" t="inlineStr">
        <is>
          <t>elijah-hollands</t>
        </is>
      </c>
      <c r="B550" s="2" t="inlineStr">
        <is>
          <t>Elijah Hollands</t>
        </is>
      </c>
      <c r="C550" s="2" t="inlineStr">
        <is>
          <t>Carlton</t>
        </is>
      </c>
      <c r="D550" s="2" t="inlineStr">
        <is>
          <t>SF</t>
        </is>
      </c>
      <c r="E550" s="2" t="n">
        <v>24</v>
      </c>
      <c r="F550" s="2" t="inlineStr">
        <is>
          <t>National pick 7</t>
        </is>
      </c>
      <c r="G550" s="3" t="n">
        <v>716</v>
      </c>
      <c r="H550" s="3" t="n">
        <v>632</v>
      </c>
      <c r="I550" s="3">
        <f>H550-G550</f>
        <v/>
      </c>
      <c r="J550" s="4">
        <f>IF(G550=0,"",(H550-G550)/G550)</f>
        <v/>
      </c>
      <c r="K550" s="4">
        <f>IF(G550=0,"",(H550-G550*0.891738)/(G550*0.891738))</f>
        <v/>
      </c>
      <c r="L550" s="3" t="n">
        <v>-6</v>
      </c>
      <c r="M550" s="3" t="n">
        <v>0</v>
      </c>
      <c r="N550" s="3" t="n">
        <v>-78</v>
      </c>
      <c r="O550" s="3" t="n">
        <v>0</v>
      </c>
      <c r="P550" s="3" t="n">
        <v>0</v>
      </c>
      <c r="Q550" s="3">
        <f>SUM(L550:P550)-I550</f>
        <v/>
      </c>
    </row>
    <row r="551">
      <c r="A551" s="2" t="inlineStr">
        <is>
          <t>riley-hamilton</t>
        </is>
      </c>
      <c r="B551" s="2" t="inlineStr">
        <is>
          <t>Riley Hamilton</t>
        </is>
      </c>
      <c r="C551" s="2" t="inlineStr">
        <is>
          <t>GWS</t>
        </is>
      </c>
      <c r="D551" s="2" t="inlineStr">
        <is>
          <t>SF</t>
        </is>
      </c>
      <c r="E551" s="2" t="n">
        <v>20</v>
      </c>
      <c r="F551" s="2" t="inlineStr">
        <is>
          <t>Post-Draft - Academy (pool)</t>
        </is>
      </c>
      <c r="G551" s="3" t="n">
        <v>255</v>
      </c>
      <c r="H551" s="3" t="n">
        <v>221</v>
      </c>
      <c r="I551" s="3">
        <f>H551-G551</f>
        <v/>
      </c>
      <c r="J551" s="4">
        <f>IF(G551=0,"",(H551-G551)/G551)</f>
        <v/>
      </c>
      <c r="K551" s="4">
        <f>IF(G551=0,"",(H551-G551*0.891738)/(G551*0.891738))</f>
        <v/>
      </c>
      <c r="L551" s="3" t="n">
        <v>-3</v>
      </c>
      <c r="M551" s="3" t="n">
        <v>0</v>
      </c>
      <c r="N551" s="3" t="n">
        <v>-27</v>
      </c>
      <c r="O551" s="3" t="n">
        <v>-4</v>
      </c>
      <c r="P551" s="3" t="n">
        <v>0</v>
      </c>
      <c r="Q551" s="3">
        <f>SUM(L551:P551)-I551</f>
        <v/>
      </c>
    </row>
    <row r="552">
      <c r="A552" s="2" t="inlineStr">
        <is>
          <t>will-hayes-b</t>
        </is>
      </c>
      <c r="B552" s="2" t="inlineStr">
        <is>
          <t>Will Hayes</t>
        </is>
      </c>
      <c r="C552" s="2" t="inlineStr">
        <is>
          <t>Collingwood</t>
        </is>
      </c>
      <c r="D552" s="2" t="inlineStr">
        <is>
          <t>SF</t>
        </is>
      </c>
      <c r="E552" s="2" t="n">
        <v>20</v>
      </c>
      <c r="F552" s="2" t="inlineStr">
        <is>
          <t>National pick 56</t>
        </is>
      </c>
      <c r="G552" s="3" t="n">
        <v>432</v>
      </c>
      <c r="H552" s="3" t="n">
        <v>246</v>
      </c>
      <c r="I552" s="3">
        <f>H552-G552</f>
        <v/>
      </c>
      <c r="J552" s="4">
        <f>IF(G552=0,"",(H552-G552)/G552)</f>
        <v/>
      </c>
      <c r="K552" s="4">
        <f>IF(G552=0,"",(H552-G552*0.891738)/(G552*0.891738))</f>
        <v/>
      </c>
      <c r="L552" s="3" t="n">
        <v>-156</v>
      </c>
      <c r="M552" s="3" t="n">
        <v>0</v>
      </c>
      <c r="N552" s="3" t="n">
        <v>-30</v>
      </c>
      <c r="O552" s="3" t="n">
        <v>0</v>
      </c>
      <c r="P552" s="3" t="n">
        <v>0</v>
      </c>
      <c r="Q552" s="3">
        <f>SUM(L552:P552)-I552</f>
        <v/>
      </c>
    </row>
    <row r="553">
      <c r="A553" s="2" t="inlineStr">
        <is>
          <t>alex-neal-bullen</t>
        </is>
      </c>
      <c r="B553" s="2" t="inlineStr">
        <is>
          <t>Alex Neal-Bullen</t>
        </is>
      </c>
      <c r="C553" s="2" t="inlineStr">
        <is>
          <t>Adelaide</t>
        </is>
      </c>
      <c r="D553" s="2" t="inlineStr">
        <is>
          <t>SF</t>
        </is>
      </c>
      <c r="E553" s="2" t="n">
        <v>30</v>
      </c>
      <c r="F553" s="2" t="inlineStr">
        <is>
          <t>National pick 40</t>
        </is>
      </c>
      <c r="G553" s="3" t="n">
        <v>313</v>
      </c>
      <c r="H553" s="3" t="n">
        <v>276</v>
      </c>
      <c r="I553" s="3">
        <f>H553-G553</f>
        <v/>
      </c>
      <c r="J553" s="4">
        <f>IF(G553=0,"",(H553-G553)/G553)</f>
        <v/>
      </c>
      <c r="K553" s="4">
        <f>IF(G553=0,"",(H553-G553*0.891738)/(G553*0.891738))</f>
        <v/>
      </c>
      <c r="L553" s="3" t="n">
        <v>-4</v>
      </c>
      <c r="M553" s="3" t="n">
        <v>0</v>
      </c>
      <c r="N553" s="3" t="n">
        <v>-33</v>
      </c>
      <c r="O553" s="3" t="n">
        <v>0</v>
      </c>
      <c r="P553" s="3" t="n">
        <v>0</v>
      </c>
      <c r="Q553" s="3">
        <f>SUM(L553:P553)-I553</f>
        <v/>
      </c>
    </row>
    <row r="554">
      <c r="A554" s="2" t="inlineStr">
        <is>
          <t>rhett-bazzo</t>
        </is>
      </c>
      <c r="B554" s="2" t="inlineStr">
        <is>
          <t>Rhett Bazzo</t>
        </is>
      </c>
      <c r="C554" s="2" t="inlineStr">
        <is>
          <t>West Coast</t>
        </is>
      </c>
      <c r="D554" s="2" t="inlineStr">
        <is>
          <t>KPD</t>
        </is>
      </c>
      <c r="E554" s="2" t="n">
        <v>23</v>
      </c>
      <c r="F554" s="2" t="inlineStr">
        <is>
          <t>National pick 37</t>
        </is>
      </c>
      <c r="G554" s="3" t="n">
        <v>415</v>
      </c>
      <c r="H554" s="3" t="n">
        <v>373</v>
      </c>
      <c r="I554" s="3">
        <f>H554-G554</f>
        <v/>
      </c>
      <c r="J554" s="4">
        <f>IF(G554=0,"",(H554-G554)/G554)</f>
        <v/>
      </c>
      <c r="K554" s="4">
        <f>IF(G554=0,"",(H554-G554*0.891738)/(G554*0.891738))</f>
        <v/>
      </c>
      <c r="L554" s="3" t="n">
        <v>4</v>
      </c>
      <c r="M554" s="3" t="n">
        <v>0</v>
      </c>
      <c r="N554" s="3" t="n">
        <v>-46</v>
      </c>
      <c r="O554" s="3" t="n">
        <v>0</v>
      </c>
      <c r="P554" s="3" t="n">
        <v>0</v>
      </c>
      <c r="Q554" s="3">
        <f>SUM(L554:P554)-I554</f>
        <v/>
      </c>
    </row>
    <row r="555">
      <c r="A555" s="2" t="inlineStr">
        <is>
          <t>thomas-burton</t>
        </is>
      </c>
      <c r="B555" s="2" t="inlineStr">
        <is>
          <t>Thomas Burton</t>
        </is>
      </c>
      <c r="C555" s="2" t="inlineStr">
        <is>
          <t>Richmond</t>
        </is>
      </c>
      <c r="D555" s="2" t="inlineStr">
        <is>
          <t>SF</t>
        </is>
      </c>
      <c r="E555" s="2" t="n">
        <v>19</v>
      </c>
      <c r="F555" s="2" t="inlineStr">
        <is>
          <t>SSP (pool)</t>
        </is>
      </c>
      <c r="G555" s="3" t="n">
        <v>344</v>
      </c>
      <c r="H555" s="3" t="n">
        <v>267</v>
      </c>
      <c r="I555" s="3">
        <f>H555-G555</f>
        <v/>
      </c>
      <c r="J555" s="4">
        <f>IF(G555=0,"",(H555-G555)/G555)</f>
        <v/>
      </c>
      <c r="K555" s="4">
        <f>IF(G555=0,"",(H555-G555*0.891738)/(G555*0.891738))</f>
        <v/>
      </c>
      <c r="L555" s="3" t="n">
        <v>-41</v>
      </c>
      <c r="M555" s="3" t="n">
        <v>0</v>
      </c>
      <c r="N555" s="3" t="n">
        <v>-32</v>
      </c>
      <c r="O555" s="3" t="n">
        <v>-3</v>
      </c>
      <c r="P555" s="3" t="n">
        <v>-1</v>
      </c>
      <c r="Q555" s="3">
        <f>SUM(L555:P555)-I555</f>
        <v/>
      </c>
    </row>
    <row r="556">
      <c r="A556" s="2" t="inlineStr">
        <is>
          <t>jack-hutchinson</t>
        </is>
      </c>
      <c r="B556" s="2" t="inlineStr">
        <is>
          <t>Jack Hutchinson</t>
        </is>
      </c>
      <c r="C556" s="2" t="inlineStr">
        <is>
          <t>West Coast</t>
        </is>
      </c>
      <c r="D556" s="2" t="inlineStr">
        <is>
          <t>MID</t>
        </is>
      </c>
      <c r="E556" s="2" t="n">
        <v>25</v>
      </c>
      <c r="F556" s="2" t="inlineStr">
        <is>
          <t>Mid-Season pick 3</t>
        </is>
      </c>
      <c r="G556" s="3" t="n">
        <v>100</v>
      </c>
      <c r="H556" s="3" t="n">
        <v>100</v>
      </c>
      <c r="I556" s="3">
        <f>H556-G556</f>
        <v/>
      </c>
      <c r="J556" s="4">
        <f>IF(G556=0,"",(H556-G556)/G556)</f>
        <v/>
      </c>
      <c r="K556" s="4">
        <f>IF(G556=0,"",(H556-G556*0.891738)/(G556*0.891738))</f>
        <v/>
      </c>
      <c r="L556" s="3" t="n">
        <v>0</v>
      </c>
      <c r="M556" s="3" t="n">
        <v>0</v>
      </c>
      <c r="N556" s="3" t="n">
        <v>0</v>
      </c>
      <c r="O556" s="3" t="n">
        <v>0</v>
      </c>
      <c r="P556" s="3" t="n">
        <v>0</v>
      </c>
      <c r="Q556" s="3">
        <f>SUM(L556:P556)-I556</f>
        <v/>
      </c>
    </row>
    <row r="557">
      <c r="A557" s="2" t="inlineStr">
        <is>
          <t>jeremy-howe</t>
        </is>
      </c>
      <c r="B557" s="2" t="inlineStr">
        <is>
          <t>Jeremy Howe</t>
        </is>
      </c>
      <c r="C557" s="2" t="inlineStr">
        <is>
          <t>Collingwood</t>
        </is>
      </c>
      <c r="D557" s="2" t="inlineStr">
        <is>
          <t>SD</t>
        </is>
      </c>
      <c r="E557" s="2" t="n">
        <v>36</v>
      </c>
      <c r="F557" s="2" t="inlineStr">
        <is>
          <t>National pick 35</t>
        </is>
      </c>
      <c r="G557" s="3" t="n">
        <v>229</v>
      </c>
      <c r="H557" s="3" t="n">
        <v>201</v>
      </c>
      <c r="I557" s="3">
        <f>H557-G557</f>
        <v/>
      </c>
      <c r="J557" s="4">
        <f>IF(G557=0,"",(H557-G557)/G557)</f>
        <v/>
      </c>
      <c r="K557" s="4">
        <f>IF(G557=0,"",(H557-G557*0.891738)/(G557*0.891738))</f>
        <v/>
      </c>
      <c r="L557" s="3" t="n">
        <v>-3</v>
      </c>
      <c r="M557" s="3" t="n">
        <v>0</v>
      </c>
      <c r="N557" s="3" t="n">
        <v>-25</v>
      </c>
      <c r="O557" s="3" t="n">
        <v>0</v>
      </c>
      <c r="P557" s="3" t="n">
        <v>0</v>
      </c>
      <c r="Q557" s="3">
        <f>SUM(L557:P557)-I557</f>
        <v/>
      </c>
    </row>
    <row r="558">
      <c r="A558" s="2" t="inlineStr">
        <is>
          <t>liam-puncher</t>
        </is>
      </c>
      <c r="B558" s="2" t="inlineStr">
        <is>
          <t>Liam Puncher</t>
        </is>
      </c>
      <c r="C558" s="2" t="inlineStr">
        <is>
          <t>Collingwood</t>
        </is>
      </c>
      <c r="D558" s="2" t="inlineStr">
        <is>
          <t>KPD</t>
        </is>
      </c>
      <c r="E558" s="2" t="n">
        <v>23</v>
      </c>
      <c r="F558" s="2" t="inlineStr">
        <is>
          <t>Mid-Season pick 15</t>
        </is>
      </c>
      <c r="G558" s="3" t="n">
        <v>116</v>
      </c>
      <c r="H558" s="3" t="n">
        <v>59</v>
      </c>
      <c r="I558" s="3">
        <f>H558-G558</f>
        <v/>
      </c>
      <c r="J558" s="4">
        <f>IF(G558=0,"",(H558-G558)/G558)</f>
        <v/>
      </c>
      <c r="K558" s="4">
        <f>IF(G558=0,"",(H558-G558*0.891738)/(G558*0.891738))</f>
        <v/>
      </c>
      <c r="L558" s="3" t="n">
        <v>-58</v>
      </c>
      <c r="M558" s="3" t="n">
        <v>0</v>
      </c>
      <c r="N558" s="3" t="n">
        <v>-5</v>
      </c>
      <c r="O558" s="3" t="n">
        <v>4</v>
      </c>
      <c r="P558" s="3" t="n">
        <v>2</v>
      </c>
      <c r="Q558" s="3">
        <f>SUM(L558:P558)-I558</f>
        <v/>
      </c>
    </row>
    <row r="559">
      <c r="A559" s="2" t="inlineStr">
        <is>
          <t>nikolas-cox</t>
        </is>
      </c>
      <c r="B559" s="2" t="inlineStr">
        <is>
          <t>Nikolas Cox</t>
        </is>
      </c>
      <c r="C559" s="2" t="inlineStr">
        <is>
          <t>Essendon</t>
        </is>
      </c>
      <c r="D559" s="2" t="inlineStr">
        <is>
          <t>KPF</t>
        </is>
      </c>
      <c r="E559" s="2" t="n">
        <v>24</v>
      </c>
      <c r="F559" s="2" t="inlineStr">
        <is>
          <t>National pick 8</t>
        </is>
      </c>
      <c r="G559" s="3" t="n">
        <v>137</v>
      </c>
      <c r="H559" s="3" t="n">
        <v>103</v>
      </c>
      <c r="I559" s="3">
        <f>H559-G559</f>
        <v/>
      </c>
      <c r="J559" s="4">
        <f>IF(G559=0,"",(H559-G559)/G559)</f>
        <v/>
      </c>
      <c r="K559" s="4">
        <f>IF(G559=0,"",(H559-G559*0.891738)/(G559*0.891738))</f>
        <v/>
      </c>
      <c r="L559" s="3" t="n">
        <v>-22</v>
      </c>
      <c r="M559" s="3" t="n">
        <v>0</v>
      </c>
      <c r="N559" s="3" t="n">
        <v>-12</v>
      </c>
      <c r="O559" s="3" t="n">
        <v>0</v>
      </c>
      <c r="P559" s="3" t="n">
        <v>0</v>
      </c>
      <c r="Q559" s="3">
        <f>SUM(L559:P559)-I559</f>
        <v/>
      </c>
    </row>
    <row r="560">
      <c r="A560" s="2" t="inlineStr">
        <is>
          <t>hayden-mclean</t>
        </is>
      </c>
      <c r="B560" s="2" t="inlineStr">
        <is>
          <t>Hayden McLean</t>
        </is>
      </c>
      <c r="C560" s="2" t="inlineStr">
        <is>
          <t>Sydney</t>
        </is>
      </c>
      <c r="D560" s="2" t="inlineStr">
        <is>
          <t>KPF</t>
        </is>
      </c>
      <c r="E560" s="2" t="n">
        <v>27</v>
      </c>
      <c r="F560" s="2" t="inlineStr">
        <is>
          <t>SSP (pool)</t>
        </is>
      </c>
      <c r="G560" s="3" t="n">
        <v>245</v>
      </c>
      <c r="H560" s="3" t="n">
        <v>214</v>
      </c>
      <c r="I560" s="3">
        <f>H560-G560</f>
        <v/>
      </c>
      <c r="J560" s="4">
        <f>IF(G560=0,"",(H560-G560)/G560)</f>
        <v/>
      </c>
      <c r="K560" s="4">
        <f>IF(G560=0,"",(H560-G560*0.891738)/(G560*0.891738))</f>
        <v/>
      </c>
      <c r="L560" s="3" t="n">
        <v>-5</v>
      </c>
      <c r="M560" s="3" t="n">
        <v>0</v>
      </c>
      <c r="N560" s="3" t="n">
        <v>-26</v>
      </c>
      <c r="O560" s="3" t="n">
        <v>0</v>
      </c>
      <c r="P560" s="3" t="n">
        <v>0</v>
      </c>
      <c r="Q560" s="3">
        <f>SUM(L560:P560)-I560</f>
        <v/>
      </c>
    </row>
    <row r="561">
      <c r="A561" s="2" t="inlineStr">
        <is>
          <t>rob-monahan</t>
        </is>
      </c>
      <c r="B561" s="2" t="inlineStr">
        <is>
          <t>Rob Monahan</t>
        </is>
      </c>
      <c r="C561" s="2" t="inlineStr">
        <is>
          <t>Carlton</t>
        </is>
      </c>
      <c r="D561" s="2" t="inlineStr">
        <is>
          <t>SD</t>
        </is>
      </c>
      <c r="E561" s="2" t="n">
        <v>22</v>
      </c>
      <c r="F561" s="2" t="inlineStr">
        <is>
          <t>Post-Draft - Ireland (pool)</t>
        </is>
      </c>
      <c r="G561" s="3" t="n">
        <v>47</v>
      </c>
      <c r="H561" s="3" t="n">
        <v>47</v>
      </c>
      <c r="I561" s="3">
        <f>H561-G561</f>
        <v/>
      </c>
      <c r="J561" s="4">
        <f>IF(G561=0,"",(H561-G561)/G561)</f>
        <v/>
      </c>
      <c r="K561" s="4">
        <f>IF(G561=0,"",(H561-G561*0.891738)/(G561*0.891738))</f>
        <v/>
      </c>
      <c r="L561" s="3" t="n">
        <v>0</v>
      </c>
      <c r="M561" s="3" t="n">
        <v>0</v>
      </c>
      <c r="N561" s="3" t="n">
        <v>0</v>
      </c>
      <c r="O561" s="3" t="n">
        <v>0</v>
      </c>
      <c r="P561" s="3" t="n">
        <v>0</v>
      </c>
      <c r="Q561" s="3">
        <f>SUM(L561:P561)-I561</f>
        <v/>
      </c>
    </row>
    <row r="562">
      <c r="A562" s="2" t="inlineStr">
        <is>
          <t>nathan-wardius</t>
        </is>
      </c>
      <c r="B562" s="2" t="inlineStr">
        <is>
          <t>Nathan Wardius</t>
        </is>
      </c>
      <c r="C562" s="2" t="inlineStr">
        <is>
          <t>GWS</t>
        </is>
      </c>
      <c r="D562" s="2" t="inlineStr">
        <is>
          <t>SF</t>
        </is>
      </c>
      <c r="E562" s="2" t="n">
        <v>22</v>
      </c>
      <c r="F562" s="2" t="inlineStr">
        <is>
          <t>Post-Draft - Academy (pool)</t>
        </is>
      </c>
      <c r="G562" s="3" t="n">
        <v>67</v>
      </c>
      <c r="H562" s="3" t="n">
        <v>67</v>
      </c>
      <c r="I562" s="3">
        <f>H562-G562</f>
        <v/>
      </c>
      <c r="J562" s="4">
        <f>IF(G562=0,"",(H562-G562)/G562)</f>
        <v/>
      </c>
      <c r="K562" s="4">
        <f>IF(G562=0,"",(H562-G562*0.891738)/(G562*0.891738))</f>
        <v/>
      </c>
      <c r="L562" s="3" t="n">
        <v>0</v>
      </c>
      <c r="M562" s="3" t="n">
        <v>0</v>
      </c>
      <c r="N562" s="3" t="n">
        <v>0</v>
      </c>
      <c r="O562" s="3" t="n">
        <v>0</v>
      </c>
      <c r="P562" s="3" t="n">
        <v>0</v>
      </c>
      <c r="Q562" s="3">
        <f>SUM(L562:P562)-I562</f>
        <v/>
      </c>
    </row>
    <row r="563">
      <c r="A563" s="2" t="inlineStr">
        <is>
          <t>corey-warner</t>
        </is>
      </c>
      <c r="B563" s="2" t="inlineStr">
        <is>
          <t>Corey Warner</t>
        </is>
      </c>
      <c r="C563" s="2" t="inlineStr">
        <is>
          <t>Sydney</t>
        </is>
      </c>
      <c r="D563" s="2" t="inlineStr">
        <is>
          <t>SF</t>
        </is>
      </c>
      <c r="E563" s="2" t="n">
        <v>23</v>
      </c>
      <c r="F563" s="2" t="inlineStr">
        <is>
          <t>National pick 40</t>
        </is>
      </c>
      <c r="G563" s="3" t="n">
        <v>49</v>
      </c>
      <c r="H563" s="3" t="n">
        <v>46</v>
      </c>
      <c r="I563" s="3">
        <f>H563-G563</f>
        <v/>
      </c>
      <c r="J563" s="4">
        <f>IF(G563=0,"",(H563-G563)/G563)</f>
        <v/>
      </c>
      <c r="K563" s="4">
        <f>IF(G563=0,"",(H563-G563*0.891738)/(G563*0.891738))</f>
        <v/>
      </c>
      <c r="L563" s="3" t="n">
        <v>0</v>
      </c>
      <c r="M563" s="3" t="n">
        <v>0</v>
      </c>
      <c r="N563" s="3" t="n">
        <v>-3</v>
      </c>
      <c r="O563" s="3" t="n">
        <v>0</v>
      </c>
      <c r="P563" s="3" t="n">
        <v>0</v>
      </c>
      <c r="Q563" s="3">
        <f>SUM(L563:P563)-I563</f>
        <v/>
      </c>
    </row>
    <row r="564">
      <c r="A564" s="2" t="inlineStr">
        <is>
          <t>stephen-coniglio</t>
        </is>
      </c>
      <c r="B564" s="2" t="inlineStr">
        <is>
          <t>Stephen Coniglio</t>
        </is>
      </c>
      <c r="C564" s="2" t="inlineStr">
        <is>
          <t>GWS</t>
        </is>
      </c>
      <c r="D564" s="2" t="inlineStr">
        <is>
          <t>MID</t>
        </is>
      </c>
      <c r="E564" s="2" t="n">
        <v>33</v>
      </c>
      <c r="F564" s="2" t="inlineStr">
        <is>
          <t>National pick 3</t>
        </is>
      </c>
      <c r="G564" s="3" t="n">
        <v>220</v>
      </c>
      <c r="H564" s="3" t="n">
        <v>194</v>
      </c>
      <c r="I564" s="3">
        <f>H564-G564</f>
        <v/>
      </c>
      <c r="J564" s="4">
        <f>IF(G564=0,"",(H564-G564)/G564)</f>
        <v/>
      </c>
      <c r="K564" s="4">
        <f>IF(G564=0,"",(H564-G564*0.891738)/(G564*0.891738))</f>
        <v/>
      </c>
      <c r="L564" s="3" t="n">
        <v>-2</v>
      </c>
      <c r="M564" s="3" t="n">
        <v>0</v>
      </c>
      <c r="N564" s="3" t="n">
        <v>-24</v>
      </c>
      <c r="O564" s="3" t="n">
        <v>0</v>
      </c>
      <c r="P564" s="3" t="n">
        <v>0</v>
      </c>
      <c r="Q564" s="3">
        <f>SUM(L564:P564)-I564</f>
        <v/>
      </c>
    </row>
    <row r="565">
      <c r="A565" s="2" t="inlineStr">
        <is>
          <t>cooper-harvey</t>
        </is>
      </c>
      <c r="B565" s="2" t="inlineStr">
        <is>
          <t>Cooper Harvey</t>
        </is>
      </c>
      <c r="C565" s="2" t="inlineStr">
        <is>
          <t>North Melbourne</t>
        </is>
      </c>
      <c r="D565" s="2" t="inlineStr">
        <is>
          <t>SF</t>
        </is>
      </c>
      <c r="E565" s="2" t="n">
        <v>22</v>
      </c>
      <c r="F565" s="2" t="inlineStr">
        <is>
          <t>National pick 56</t>
        </is>
      </c>
      <c r="G565" s="3" t="n">
        <v>544</v>
      </c>
      <c r="H565" s="3" t="n">
        <v>474</v>
      </c>
      <c r="I565" s="3">
        <f>H565-G565</f>
        <v/>
      </c>
      <c r="J565" s="4">
        <f>IF(G565=0,"",(H565-G565)/G565)</f>
        <v/>
      </c>
      <c r="K565" s="4">
        <f>IF(G565=0,"",(H565-G565*0.891738)/(G565*0.891738))</f>
        <v/>
      </c>
      <c r="L565" s="3" t="n">
        <v>-12</v>
      </c>
      <c r="M565" s="3" t="n">
        <v>0</v>
      </c>
      <c r="N565" s="3" t="n">
        <v>-58</v>
      </c>
      <c r="O565" s="3" t="n">
        <v>0</v>
      </c>
      <c r="P565" s="3" t="n">
        <v>0</v>
      </c>
      <c r="Q565" s="3">
        <f>SUM(L565:P565)-I565</f>
        <v/>
      </c>
    </row>
    <row r="566">
      <c r="A566" s="2" t="inlineStr">
        <is>
          <t>james-trezise</t>
        </is>
      </c>
      <c r="B566" s="2" t="inlineStr">
        <is>
          <t>James Trezise</t>
        </is>
      </c>
      <c r="C566" s="2" t="inlineStr">
        <is>
          <t>Richmond</t>
        </is>
      </c>
      <c r="D566" s="2" t="inlineStr">
        <is>
          <t>SD</t>
        </is>
      </c>
      <c r="E566" s="2" t="n">
        <v>24</v>
      </c>
      <c r="F566" s="2" t="inlineStr">
        <is>
          <t>Mid-Season pick 10</t>
        </is>
      </c>
      <c r="G566" s="3" t="n">
        <v>119</v>
      </c>
      <c r="H566" s="3" t="n">
        <v>99</v>
      </c>
      <c r="I566" s="3">
        <f>H566-G566</f>
        <v/>
      </c>
      <c r="J566" s="4">
        <f>IF(G566=0,"",(H566-G566)/G566)</f>
        <v/>
      </c>
      <c r="K566" s="4">
        <f>IF(G566=0,"",(H566-G566*0.891738)/(G566*0.891738))</f>
        <v/>
      </c>
      <c r="L566" s="3" t="n">
        <v>-8</v>
      </c>
      <c r="M566" s="3" t="n">
        <v>0</v>
      </c>
      <c r="N566" s="3" t="n">
        <v>-12</v>
      </c>
      <c r="O566" s="3" t="n">
        <v>0</v>
      </c>
      <c r="P566" s="3" t="n">
        <v>0</v>
      </c>
      <c r="Q566" s="3">
        <f>SUM(L566:P566)-I566</f>
        <v/>
      </c>
    </row>
    <row r="567">
      <c r="A567" s="2" t="inlineStr">
        <is>
          <t>judson-clarke</t>
        </is>
      </c>
      <c r="B567" s="2" t="inlineStr">
        <is>
          <t>Judson Clarke</t>
        </is>
      </c>
      <c r="C567" s="2" t="inlineStr">
        <is>
          <t>Richmond</t>
        </is>
      </c>
      <c r="D567" s="2" t="inlineStr">
        <is>
          <t>SF</t>
        </is>
      </c>
      <c r="E567" s="2" t="n">
        <v>23</v>
      </c>
      <c r="F567" s="2" t="inlineStr">
        <is>
          <t>National pick 30</t>
        </is>
      </c>
      <c r="G567" s="3" t="n">
        <v>64</v>
      </c>
      <c r="H567" s="3" t="n">
        <v>61</v>
      </c>
      <c r="I567" s="3">
        <f>H567-G567</f>
        <v/>
      </c>
      <c r="J567" s="4">
        <f>IF(G567=0,"",(H567-G567)/G567)</f>
        <v/>
      </c>
      <c r="K567" s="4">
        <f>IF(G567=0,"",(H567-G567*0.891738)/(G567*0.891738))</f>
        <v/>
      </c>
      <c r="L567" s="3" t="n">
        <v>0</v>
      </c>
      <c r="M567" s="3" t="n">
        <v>0</v>
      </c>
      <c r="N567" s="3" t="n">
        <v>-3</v>
      </c>
      <c r="O567" s="3" t="n">
        <v>0</v>
      </c>
      <c r="P567" s="3" t="n">
        <v>0</v>
      </c>
      <c r="Q567" s="3">
        <f>SUM(L567:P567)-I567</f>
        <v/>
      </c>
    </row>
    <row r="568">
      <c r="A568" s="2" t="inlineStr">
        <is>
          <t>luke-kennedy</t>
        </is>
      </c>
      <c r="B568" s="2" t="inlineStr">
        <is>
          <t>Luke Kennedy</t>
        </is>
      </c>
      <c r="C568" s="2" t="inlineStr">
        <is>
          <t>Western Bulldogs</t>
        </is>
      </c>
      <c r="D568" s="2" t="inlineStr">
        <is>
          <t>MID</t>
        </is>
      </c>
      <c r="E568" s="2" t="n">
        <v>20</v>
      </c>
      <c r="F568" s="2" t="inlineStr">
        <is>
          <t>National pick 62</t>
        </is>
      </c>
      <c r="G568" s="3" t="n">
        <v>392</v>
      </c>
      <c r="H568" s="3" t="n">
        <v>241</v>
      </c>
      <c r="I568" s="3">
        <f>H568-G568</f>
        <v/>
      </c>
      <c r="J568" s="4">
        <f>IF(G568=0,"",(H568-G568)/G568)</f>
        <v/>
      </c>
      <c r="K568" s="4">
        <f>IF(G568=0,"",(H568-G568*0.891738)/(G568*0.891738))</f>
        <v/>
      </c>
      <c r="L568" s="3" t="n">
        <v>-25</v>
      </c>
      <c r="M568" s="3" t="n">
        <v>0</v>
      </c>
      <c r="N568" s="3" t="n">
        <v>-38</v>
      </c>
      <c r="O568" s="3" t="n">
        <v>-36</v>
      </c>
      <c r="P568" s="3" t="n">
        <v>-52</v>
      </c>
      <c r="Q568" s="3">
        <f>SUM(L568:P568)-I568</f>
        <v/>
      </c>
    </row>
    <row r="569">
      <c r="A569" s="2" t="inlineStr">
        <is>
          <t>lachlan-gulbin</t>
        </is>
      </c>
      <c r="B569" s="2" t="inlineStr">
        <is>
          <t>Lachlan Gulbin</t>
        </is>
      </c>
      <c r="C569" s="2" t="inlineStr">
        <is>
          <t>Gold Coast</t>
        </is>
      </c>
      <c r="D569" s="2" t="inlineStr">
        <is>
          <t>SF</t>
        </is>
      </c>
      <c r="E569" s="2" t="n">
        <v>20</v>
      </c>
      <c r="F569" s="2" t="inlineStr">
        <is>
          <t>Post-Draft - Academy (pool)</t>
        </is>
      </c>
      <c r="G569" s="3" t="n">
        <v>382</v>
      </c>
      <c r="H569" s="3" t="n">
        <v>239</v>
      </c>
      <c r="I569" s="3">
        <f>H569-G569</f>
        <v/>
      </c>
      <c r="J569" s="4">
        <f>IF(G569=0,"",(H569-G569)/G569)</f>
        <v/>
      </c>
      <c r="K569" s="4">
        <f>IF(G569=0,"",(H569-G569*0.891738)/(G569*0.891738))</f>
        <v/>
      </c>
      <c r="L569" s="3" t="n">
        <v>-114</v>
      </c>
      <c r="M569" s="3" t="n">
        <v>0</v>
      </c>
      <c r="N569" s="3" t="n">
        <v>-29</v>
      </c>
      <c r="O569" s="3" t="n">
        <v>0</v>
      </c>
      <c r="P569" s="3" t="n">
        <v>0</v>
      </c>
      <c r="Q569" s="3">
        <f>SUM(L569:P569)-I569</f>
        <v/>
      </c>
    </row>
    <row r="570">
      <c r="A570" s="2" t="inlineStr">
        <is>
          <t>henry-hustwaite</t>
        </is>
      </c>
      <c r="B570" s="2" t="inlineStr">
        <is>
          <t>Henry Hustwaite</t>
        </is>
      </c>
      <c r="C570" s="2" t="inlineStr">
        <is>
          <t>Hawthorn</t>
        </is>
      </c>
      <c r="D570" s="2" t="inlineStr">
        <is>
          <t>MID</t>
        </is>
      </c>
      <c r="E570" s="2" t="n">
        <v>22</v>
      </c>
      <c r="F570" s="2" t="inlineStr">
        <is>
          <t>National pick 37</t>
        </is>
      </c>
      <c r="G570" s="3" t="n">
        <v>246</v>
      </c>
      <c r="H570" s="3" t="n">
        <v>222</v>
      </c>
      <c r="I570" s="3">
        <f>H570-G570</f>
        <v/>
      </c>
      <c r="J570" s="4">
        <f>IF(G570=0,"",(H570-G570)/G570)</f>
        <v/>
      </c>
      <c r="K570" s="4">
        <f>IF(G570=0,"",(H570-G570*0.891738)/(G570*0.891738))</f>
        <v/>
      </c>
      <c r="L570" s="3" t="n">
        <v>-10</v>
      </c>
      <c r="M570" s="3" t="n">
        <v>0</v>
      </c>
      <c r="N570" s="3" t="n">
        <v>-18</v>
      </c>
      <c r="O570" s="3" t="n">
        <v>2</v>
      </c>
      <c r="P570" s="3" t="n">
        <v>2</v>
      </c>
      <c r="Q570" s="3">
        <f>SUM(L570:P570)-I570</f>
        <v/>
      </c>
    </row>
    <row r="571">
      <c r="A571" s="2" t="inlineStr">
        <is>
          <t>mani-liddy</t>
        </is>
      </c>
      <c r="B571" s="2" t="inlineStr">
        <is>
          <t>Mani Liddy</t>
        </is>
      </c>
      <c r="C571" s="2" t="inlineStr">
        <is>
          <t>Port Adelaide</t>
        </is>
      </c>
      <c r="D571" s="2" t="inlineStr">
        <is>
          <t>MID</t>
        </is>
      </c>
      <c r="E571" s="2" t="n">
        <v>24</v>
      </c>
      <c r="F571" s="2" t="inlineStr">
        <is>
          <t>Mid-Season pick 15</t>
        </is>
      </c>
      <c r="G571" s="3" t="n">
        <v>128</v>
      </c>
      <c r="H571" s="3" t="n">
        <v>128</v>
      </c>
      <c r="I571" s="3">
        <f>H571-G571</f>
        <v/>
      </c>
      <c r="J571" s="4">
        <f>IF(G571=0,"",(H571-G571)/G571)</f>
        <v/>
      </c>
      <c r="K571" s="4">
        <f>IF(G571=0,"",(H571-G571*0.891738)/(G571*0.891738))</f>
        <v/>
      </c>
      <c r="L571" s="3" t="n">
        <v>0</v>
      </c>
      <c r="M571" s="3" t="n">
        <v>0</v>
      </c>
      <c r="N571" s="3" t="n">
        <v>0</v>
      </c>
      <c r="O571" s="3" t="n">
        <v>0</v>
      </c>
      <c r="P571" s="3" t="n">
        <v>0</v>
      </c>
      <c r="Q571" s="3">
        <f>SUM(L571:P571)-I571</f>
        <v/>
      </c>
    </row>
    <row r="572">
      <c r="A572" s="2" t="inlineStr">
        <is>
          <t>tom-edwards</t>
        </is>
      </c>
      <c r="B572" s="2" t="inlineStr">
        <is>
          <t>Tom Edwards</t>
        </is>
      </c>
      <c r="C572" s="2" t="inlineStr">
        <is>
          <t>Essendon</t>
        </is>
      </c>
      <c r="D572" s="2" t="inlineStr">
        <is>
          <t>KPF</t>
        </is>
      </c>
      <c r="E572" s="2" t="n">
        <v>26</v>
      </c>
      <c r="F572" s="2" t="inlineStr">
        <is>
          <t>SSP (pool)</t>
        </is>
      </c>
      <c r="G572" s="3" t="n">
        <v>88</v>
      </c>
      <c r="H572" s="3" t="n">
        <v>88</v>
      </c>
      <c r="I572" s="3">
        <f>H572-G572</f>
        <v/>
      </c>
      <c r="J572" s="4">
        <f>IF(G572=0,"",(H572-G572)/G572)</f>
        <v/>
      </c>
      <c r="K572" s="4">
        <f>IF(G572=0,"",(H572-G572*0.891738)/(G572*0.891738))</f>
        <v/>
      </c>
      <c r="L572" s="3" t="n">
        <v>0</v>
      </c>
      <c r="M572" s="3" t="n">
        <v>0</v>
      </c>
      <c r="N572" s="3" t="n">
        <v>0</v>
      </c>
      <c r="O572" s="3" t="n">
        <v>0</v>
      </c>
      <c r="P572" s="3" t="n">
        <v>0</v>
      </c>
      <c r="Q572" s="3">
        <f>SUM(L572:P572)-I572</f>
        <v/>
      </c>
    </row>
    <row r="573">
      <c r="A573" s="2" t="inlineStr">
        <is>
          <t>oliver-hayes-brown</t>
        </is>
      </c>
      <c r="B573" s="2" t="inlineStr">
        <is>
          <t>Oliver Hayes-Brown</t>
        </is>
      </c>
      <c r="C573" s="2" t="inlineStr">
        <is>
          <t>Richmond</t>
        </is>
      </c>
      <c r="D573" s="2" t="inlineStr">
        <is>
          <t>RUCK</t>
        </is>
      </c>
      <c r="E573" s="2" t="n">
        <v>26</v>
      </c>
      <c r="F573" s="2" t="inlineStr">
        <is>
          <t>Post-Draft - Unregistered (pool)</t>
        </is>
      </c>
      <c r="G573" s="3" t="n">
        <v>218</v>
      </c>
      <c r="H573" s="3" t="n">
        <v>184</v>
      </c>
      <c r="I573" s="3">
        <f>H573-G573</f>
        <v/>
      </c>
      <c r="J573" s="4">
        <f>IF(G573=0,"",(H573-G573)/G573)</f>
        <v/>
      </c>
      <c r="K573" s="4">
        <f>IF(G573=0,"",(H573-G573*0.891738)/(G573*0.891738))</f>
        <v/>
      </c>
      <c r="L573" s="3" t="n">
        <v>-11</v>
      </c>
      <c r="M573" s="3" t="n">
        <v>0</v>
      </c>
      <c r="N573" s="3" t="n">
        <v>-23</v>
      </c>
      <c r="O573" s="3" t="n">
        <v>0</v>
      </c>
      <c r="P573" s="3" t="n">
        <v>0</v>
      </c>
      <c r="Q573" s="3">
        <f>SUM(L573:P573)-I573</f>
        <v/>
      </c>
    </row>
    <row r="574">
      <c r="A574" s="2" t="inlineStr">
        <is>
          <t>zac-banch</t>
        </is>
      </c>
      <c r="B574" s="2" t="inlineStr">
        <is>
          <t>Zac Banch</t>
        </is>
      </c>
      <c r="C574" s="2" t="inlineStr">
        <is>
          <t>North Melbourne</t>
        </is>
      </c>
      <c r="D574" s="2" t="inlineStr">
        <is>
          <t>SF</t>
        </is>
      </c>
      <c r="E574" s="2" t="n">
        <v>23</v>
      </c>
      <c r="F574" s="2" t="inlineStr">
        <is>
          <t>Mid-Season pick 2</t>
        </is>
      </c>
      <c r="G574" s="3" t="n">
        <v>128</v>
      </c>
      <c r="H574" s="3" t="n">
        <v>128</v>
      </c>
      <c r="I574" s="3">
        <f>H574-G574</f>
        <v/>
      </c>
      <c r="J574" s="4">
        <f>IF(G574=0,"",(H574-G574)/G574)</f>
        <v/>
      </c>
      <c r="K574" s="4">
        <f>IF(G574=0,"",(H574-G574*0.891738)/(G574*0.891738))</f>
        <v/>
      </c>
      <c r="L574" s="3" t="n">
        <v>0</v>
      </c>
      <c r="M574" s="3" t="n">
        <v>0</v>
      </c>
      <c r="N574" s="3" t="n">
        <v>0</v>
      </c>
      <c r="O574" s="3" t="n">
        <v>0</v>
      </c>
      <c r="P574" s="3" t="n">
        <v>0</v>
      </c>
      <c r="Q574" s="3">
        <f>SUM(L574:P574)-I574</f>
        <v/>
      </c>
    </row>
    <row r="575">
      <c r="A575" s="2" t="inlineStr">
        <is>
          <t>lachie-sullivan</t>
        </is>
      </c>
      <c r="B575" s="2" t="inlineStr">
        <is>
          <t>Lachie Sullivan</t>
        </is>
      </c>
      <c r="C575" s="2" t="inlineStr">
        <is>
          <t>Collingwood</t>
        </is>
      </c>
      <c r="D575" s="2" t="inlineStr">
        <is>
          <t>SF</t>
        </is>
      </c>
      <c r="E575" s="2" t="n">
        <v>29</v>
      </c>
      <c r="F575" s="2" t="inlineStr">
        <is>
          <t>SSP (pool)</t>
        </is>
      </c>
      <c r="G575" s="3" t="n">
        <v>70</v>
      </c>
      <c r="H575" s="3" t="n">
        <v>70</v>
      </c>
      <c r="I575" s="3">
        <f>H575-G575</f>
        <v/>
      </c>
      <c r="J575" s="4">
        <f>IF(G575=0,"",(H575-G575)/G575)</f>
        <v/>
      </c>
      <c r="K575" s="4">
        <f>IF(G575=0,"",(H575-G575*0.891738)/(G575*0.891738))</f>
        <v/>
      </c>
      <c r="L575" s="3" t="n">
        <v>0</v>
      </c>
      <c r="M575" s="3" t="n">
        <v>0</v>
      </c>
      <c r="N575" s="3" t="n">
        <v>0</v>
      </c>
      <c r="O575" s="3" t="n">
        <v>0</v>
      </c>
      <c r="P575" s="3" t="n">
        <v>0</v>
      </c>
      <c r="Q575" s="3">
        <f>SUM(L575:P575)-I575</f>
        <v/>
      </c>
    </row>
    <row r="576">
      <c r="A576" s="2" t="inlineStr">
        <is>
          <t>arthur-jones</t>
        </is>
      </c>
      <c r="B576" s="2" t="inlineStr">
        <is>
          <t>Arthur Jones</t>
        </is>
      </c>
      <c r="C576" s="2" t="inlineStr">
        <is>
          <t>Western Bulldogs</t>
        </is>
      </c>
      <c r="D576" s="2" t="inlineStr">
        <is>
          <t>SF</t>
        </is>
      </c>
      <c r="E576" s="2" t="n">
        <v>23</v>
      </c>
      <c r="F576" s="2" t="inlineStr">
        <is>
          <t>National pick 43</t>
        </is>
      </c>
      <c r="G576" s="3" t="n">
        <v>92</v>
      </c>
      <c r="H576" s="3" t="n">
        <v>78</v>
      </c>
      <c r="I576" s="3">
        <f>H576-G576</f>
        <v/>
      </c>
      <c r="J576" s="4">
        <f>IF(G576=0,"",(H576-G576)/G576)</f>
        <v/>
      </c>
      <c r="K576" s="4">
        <f>IF(G576=0,"",(H576-G576*0.891738)/(G576*0.891738))</f>
        <v/>
      </c>
      <c r="L576" s="3" t="n">
        <v>-5</v>
      </c>
      <c r="M576" s="3" t="n">
        <v>0</v>
      </c>
      <c r="N576" s="3" t="n">
        <v>-9</v>
      </c>
      <c r="O576" s="3" t="n">
        <v>0</v>
      </c>
      <c r="P576" s="3" t="n">
        <v>0</v>
      </c>
      <c r="Q576" s="3">
        <f>SUM(L576:P576)-I576</f>
        <v/>
      </c>
    </row>
    <row r="577">
      <c r="A577" s="2" t="inlineStr">
        <is>
          <t>francis-evans</t>
        </is>
      </c>
      <c r="B577" s="2" t="inlineStr">
        <is>
          <t>Francis Evans</t>
        </is>
      </c>
      <c r="C577" s="2" t="inlineStr">
        <is>
          <t>Carlton</t>
        </is>
      </c>
      <c r="D577" s="2" t="inlineStr">
        <is>
          <t>SF</t>
        </is>
      </c>
      <c r="E577" s="2" t="n">
        <v>25</v>
      </c>
      <c r="F577" s="2" t="inlineStr">
        <is>
          <t>National pick 40</t>
        </is>
      </c>
      <c r="G577" s="3" t="n">
        <v>254</v>
      </c>
      <c r="H577" s="3" t="n">
        <v>211</v>
      </c>
      <c r="I577" s="3">
        <f>H577-G577</f>
        <v/>
      </c>
      <c r="J577" s="4">
        <f>IF(G577=0,"",(H577-G577)/G577)</f>
        <v/>
      </c>
      <c r="K577" s="4">
        <f>IF(G577=0,"",(H577-G577*0.891738)/(G577*0.891738))</f>
        <v/>
      </c>
      <c r="L577" s="3" t="n">
        <v>-16</v>
      </c>
      <c r="M577" s="3" t="n">
        <v>0</v>
      </c>
      <c r="N577" s="3" t="n">
        <v>-27</v>
      </c>
      <c r="O577" s="3" t="n">
        <v>0</v>
      </c>
      <c r="P577" s="3" t="n">
        <v>0</v>
      </c>
      <c r="Q577" s="3">
        <f>SUM(L577:P577)-I577</f>
        <v/>
      </c>
    </row>
    <row r="578">
      <c r="A578" s="2" t="inlineStr">
        <is>
          <t>tom-cochrane</t>
        </is>
      </c>
      <c r="B578" s="2" t="inlineStr">
        <is>
          <t>Tom Cochrane</t>
        </is>
      </c>
      <c r="C578" s="2" t="inlineStr">
        <is>
          <t>Port Adelaide</t>
        </is>
      </c>
      <c r="D578" s="2" t="inlineStr">
        <is>
          <t>SF</t>
        </is>
      </c>
      <c r="E578" s="2" t="n">
        <v>20</v>
      </c>
      <c r="F578" s="2" t="inlineStr">
        <is>
          <t>Rookie pick 5</t>
        </is>
      </c>
      <c r="G578" s="3" t="n">
        <v>221</v>
      </c>
      <c r="H578" s="3" t="n">
        <v>116</v>
      </c>
      <c r="I578" s="3">
        <f>H578-G578</f>
        <v/>
      </c>
      <c r="J578" s="4">
        <f>IF(G578=0,"",(H578-G578)/G578)</f>
        <v/>
      </c>
      <c r="K578" s="4">
        <f>IF(G578=0,"",(H578-G578*0.891738)/(G578*0.891738))</f>
        <v/>
      </c>
      <c r="L578" s="3" t="n">
        <v>-72</v>
      </c>
      <c r="M578" s="3" t="n">
        <v>0</v>
      </c>
      <c r="N578" s="3" t="n">
        <v>-10</v>
      </c>
      <c r="O578" s="3" t="n">
        <v>-11</v>
      </c>
      <c r="P578" s="3" t="n">
        <v>-12</v>
      </c>
      <c r="Q578" s="3">
        <f>SUM(L578:P578)-I578</f>
        <v/>
      </c>
    </row>
    <row r="579">
      <c r="A579" s="2" t="inlineStr">
        <is>
          <t>malakai-champion</t>
        </is>
      </c>
      <c r="B579" s="2" t="inlineStr">
        <is>
          <t>Malakai Champion</t>
        </is>
      </c>
      <c r="C579" s="2" t="inlineStr">
        <is>
          <t>West Coast</t>
        </is>
      </c>
      <c r="D579" s="2" t="inlineStr">
        <is>
          <t>SF</t>
        </is>
      </c>
      <c r="E579" s="2" t="n">
        <v>20</v>
      </c>
      <c r="F579" s="2" t="inlineStr">
        <is>
          <t>Post-Draft - Next Gen (pool)</t>
        </is>
      </c>
      <c r="G579" s="3" t="n">
        <v>393</v>
      </c>
      <c r="H579" s="3" t="n">
        <v>262</v>
      </c>
      <c r="I579" s="3">
        <f>H579-G579</f>
        <v/>
      </c>
      <c r="J579" s="4">
        <f>IF(G579=0,"",(H579-G579)/G579)</f>
        <v/>
      </c>
      <c r="K579" s="4">
        <f>IF(G579=0,"",(H579-G579*0.891738)/(G579*0.891738))</f>
        <v/>
      </c>
      <c r="L579" s="3" t="n">
        <v>-99</v>
      </c>
      <c r="M579" s="3" t="n">
        <v>0</v>
      </c>
      <c r="N579" s="3" t="n">
        <v>-32</v>
      </c>
      <c r="O579" s="3" t="n">
        <v>0</v>
      </c>
      <c r="P579" s="3" t="n">
        <v>0</v>
      </c>
      <c r="Q579" s="3">
        <f>SUM(L579:P579)-I579</f>
        <v/>
      </c>
    </row>
    <row r="580">
      <c r="A580" s="2" t="inlineStr">
        <is>
          <t>josaia-delana</t>
        </is>
      </c>
      <c r="B580" s="2" t="inlineStr">
        <is>
          <t>Josaia Delana</t>
        </is>
      </c>
      <c r="C580" s="2" t="inlineStr">
        <is>
          <t>GWS</t>
        </is>
      </c>
      <c r="D580" s="2" t="inlineStr">
        <is>
          <t>SF</t>
        </is>
      </c>
      <c r="E580" s="2" t="n">
        <v>20</v>
      </c>
      <c r="F580" s="2" t="inlineStr">
        <is>
          <t>Post-Draft - Academy (pool)</t>
        </is>
      </c>
      <c r="G580" s="3" t="n">
        <v>296</v>
      </c>
      <c r="H580" s="3" t="n">
        <v>263</v>
      </c>
      <c r="I580" s="3">
        <f>H580-G580</f>
        <v/>
      </c>
      <c r="J580" s="4">
        <f>IF(G580=0,"",(H580-G580)/G580)</f>
        <v/>
      </c>
      <c r="K580" s="4">
        <f>IF(G580=0,"",(H580-G580*0.891738)/(G580*0.891738))</f>
        <v/>
      </c>
      <c r="L580" s="3" t="n">
        <v>0</v>
      </c>
      <c r="M580" s="3" t="n">
        <v>0</v>
      </c>
      <c r="N580" s="3" t="n">
        <v>-33</v>
      </c>
      <c r="O580" s="3" t="n">
        <v>0</v>
      </c>
      <c r="P580" s="3" t="n">
        <v>0</v>
      </c>
      <c r="Q580" s="3">
        <f>SUM(L580:P580)-I580</f>
        <v/>
      </c>
    </row>
    <row r="581">
      <c r="A581" s="2" t="inlineStr">
        <is>
          <t>flynn-young</t>
        </is>
      </c>
      <c r="B581" s="2" t="inlineStr">
        <is>
          <t>Flynn Young</t>
        </is>
      </c>
      <c r="C581" s="2" t="inlineStr">
        <is>
          <t>Carlton</t>
        </is>
      </c>
      <c r="D581" s="2" t="inlineStr">
        <is>
          <t>SF</t>
        </is>
      </c>
      <c r="E581" s="2" t="n">
        <v>24</v>
      </c>
      <c r="F581" s="2" t="inlineStr">
        <is>
          <t>Mid-Season pick 4</t>
        </is>
      </c>
      <c r="G581" s="3" t="n">
        <v>128</v>
      </c>
      <c r="H581" s="3" t="n">
        <v>128</v>
      </c>
      <c r="I581" s="3">
        <f>H581-G581</f>
        <v/>
      </c>
      <c r="J581" s="4">
        <f>IF(G581=0,"",(H581-G581)/G581)</f>
        <v/>
      </c>
      <c r="K581" s="4">
        <f>IF(G581=0,"",(H581-G581*0.891738)/(G581*0.891738))</f>
        <v/>
      </c>
      <c r="L581" s="3" t="n">
        <v>0</v>
      </c>
      <c r="M581" s="3" t="n">
        <v>0</v>
      </c>
      <c r="N581" s="3" t="n">
        <v>0</v>
      </c>
      <c r="O581" s="3" t="n">
        <v>0</v>
      </c>
      <c r="P581" s="3" t="n">
        <v>0</v>
      </c>
      <c r="Q581" s="3">
        <f>SUM(L581:P581)-I581</f>
        <v/>
      </c>
    </row>
    <row r="582">
      <c r="A582" s="2" t="inlineStr">
        <is>
          <t>toby-bedford</t>
        </is>
      </c>
      <c r="B582" s="2" t="inlineStr">
        <is>
          <t>Toby Bedford</t>
        </is>
      </c>
      <c r="C582" s="2" t="inlineStr">
        <is>
          <t>GWS</t>
        </is>
      </c>
      <c r="D582" s="2" t="inlineStr">
        <is>
          <t>SF</t>
        </is>
      </c>
      <c r="E582" s="2" t="n">
        <v>26</v>
      </c>
      <c r="F582" s="2" t="inlineStr">
        <is>
          <t>National pick 75</t>
        </is>
      </c>
      <c r="G582" s="3" t="n">
        <v>276</v>
      </c>
      <c r="H582" s="3" t="n">
        <v>242</v>
      </c>
      <c r="I582" s="3">
        <f>H582-G582</f>
        <v/>
      </c>
      <c r="J582" s="4">
        <f>IF(G582=0,"",(H582-G582)/G582)</f>
        <v/>
      </c>
      <c r="K582" s="4">
        <f>IF(G582=0,"",(H582-G582*0.891738)/(G582*0.891738))</f>
        <v/>
      </c>
      <c r="L582" s="3" t="n">
        <v>-4</v>
      </c>
      <c r="M582" s="3" t="n">
        <v>0</v>
      </c>
      <c r="N582" s="3" t="n">
        <v>-30</v>
      </c>
      <c r="O582" s="3" t="n">
        <v>0</v>
      </c>
      <c r="P582" s="3" t="n">
        <v>0</v>
      </c>
      <c r="Q582" s="3">
        <f>SUM(L582:P582)-I582</f>
        <v/>
      </c>
    </row>
    <row r="583">
      <c r="A583" s="2" t="inlineStr">
        <is>
          <t>jacob-newton</t>
        </is>
      </c>
      <c r="B583" s="2" t="inlineStr">
        <is>
          <t>Jacob Newton</t>
        </is>
      </c>
      <c r="C583" s="2" t="inlineStr">
        <is>
          <t>West Coast</t>
        </is>
      </c>
      <c r="D583" s="2" t="inlineStr">
        <is>
          <t>SF</t>
        </is>
      </c>
      <c r="E583" s="2" t="n">
        <v>20</v>
      </c>
      <c r="F583" s="2" t="inlineStr">
        <is>
          <t>Mid-Season pick 8</t>
        </is>
      </c>
      <c r="G583" s="3" t="n">
        <v>208</v>
      </c>
      <c r="H583" s="3" t="n">
        <v>128</v>
      </c>
      <c r="I583" s="3">
        <f>H583-G583</f>
        <v/>
      </c>
      <c r="J583" s="4">
        <f>IF(G583=0,"",(H583-G583)/G583)</f>
        <v/>
      </c>
      <c r="K583" s="4">
        <f>IF(G583=0,"",(H583-G583*0.891738)/(G583*0.891738))</f>
        <v/>
      </c>
      <c r="L583" s="3" t="n">
        <v>-65</v>
      </c>
      <c r="M583" s="3" t="n">
        <v>0</v>
      </c>
      <c r="N583" s="3" t="n">
        <v>-9</v>
      </c>
      <c r="O583" s="3" t="n">
        <v>-6</v>
      </c>
      <c r="P583" s="3" t="n">
        <v>0</v>
      </c>
      <c r="Q583" s="3">
        <f>SUM(L583:P583)-I583</f>
        <v/>
      </c>
    </row>
    <row r="584">
      <c r="A584" s="2" t="inlineStr">
        <is>
          <t>heath-chapman</t>
        </is>
      </c>
      <c r="B584" s="2" t="inlineStr">
        <is>
          <t>Heath Chapman</t>
        </is>
      </c>
      <c r="C584" s="2" t="inlineStr">
        <is>
          <t>Fremantle</t>
        </is>
      </c>
      <c r="D584" s="2" t="inlineStr">
        <is>
          <t>SD</t>
        </is>
      </c>
      <c r="E584" s="2" t="n">
        <v>24</v>
      </c>
      <c r="F584" s="2" t="inlineStr">
        <is>
          <t>National pick 14</t>
        </is>
      </c>
      <c r="G584" s="3" t="n">
        <v>402</v>
      </c>
      <c r="H584" s="3" t="n">
        <v>352</v>
      </c>
      <c r="I584" s="3">
        <f>H584-G584</f>
        <v/>
      </c>
      <c r="J584" s="4">
        <f>IF(G584=0,"",(H584-G584)/G584)</f>
        <v/>
      </c>
      <c r="K584" s="4">
        <f>IF(G584=0,"",(H584-G584*0.891738)/(G584*0.891738))</f>
        <v/>
      </c>
      <c r="L584" s="3" t="n">
        <v>-8</v>
      </c>
      <c r="M584" s="3" t="n">
        <v>0</v>
      </c>
      <c r="N584" s="3" t="n">
        <v>-42</v>
      </c>
      <c r="O584" s="3" t="n">
        <v>0</v>
      </c>
      <c r="P584" s="3" t="n">
        <v>0</v>
      </c>
      <c r="Q584" s="3">
        <f>SUM(L584:P584)-I584</f>
        <v/>
      </c>
    </row>
    <row r="585">
      <c r="A585" s="2" t="inlineStr">
        <is>
          <t>aidan-johnson</t>
        </is>
      </c>
      <c r="B585" s="2" t="inlineStr">
        <is>
          <t>Aidan Johnson</t>
        </is>
      </c>
      <c r="C585" s="2" t="inlineStr">
        <is>
          <t>Melbourne</t>
        </is>
      </c>
      <c r="D585" s="2" t="inlineStr">
        <is>
          <t>KPF</t>
        </is>
      </c>
      <c r="E585" s="2" t="n">
        <v>26</v>
      </c>
      <c r="F585" s="2" t="inlineStr">
        <is>
          <t>National pick 68</t>
        </is>
      </c>
      <c r="G585" s="3" t="n">
        <v>72</v>
      </c>
      <c r="H585" s="3" t="n">
        <v>82</v>
      </c>
      <c r="I585" s="3">
        <f>H585-G585</f>
        <v/>
      </c>
      <c r="J585" s="4">
        <f>IF(G585=0,"",(H585-G585)/G585)</f>
        <v/>
      </c>
      <c r="K585" s="4">
        <f>IF(G585=0,"",(H585-G585*0.891738)/(G585*0.891738))</f>
        <v/>
      </c>
      <c r="L585" s="3" t="n">
        <v>0</v>
      </c>
      <c r="M585" s="3" t="n">
        <v>0</v>
      </c>
      <c r="N585" s="3" t="n">
        <v>-1</v>
      </c>
      <c r="O585" s="3" t="n">
        <v>6</v>
      </c>
      <c r="P585" s="3" t="n">
        <v>5</v>
      </c>
      <c r="Q585" s="3">
        <f>SUM(L585:P585)-I585</f>
        <v/>
      </c>
    </row>
    <row r="586">
      <c r="A586" s="2" t="inlineStr">
        <is>
          <t>tom-doedee</t>
        </is>
      </c>
      <c r="B586" s="2" t="inlineStr">
        <is>
          <t>Tom Doedee</t>
        </is>
      </c>
      <c r="C586" s="2" t="inlineStr">
        <is>
          <t>Brisbane</t>
        </is>
      </c>
      <c r="D586" s="2" t="inlineStr">
        <is>
          <t>SD</t>
        </is>
      </c>
      <c r="E586" s="2" t="n">
        <v>29</v>
      </c>
      <c r="F586" s="2" t="inlineStr">
        <is>
          <t>National pick 17</t>
        </is>
      </c>
      <c r="G586" s="3" t="n">
        <v>236</v>
      </c>
      <c r="H586" s="3" t="n">
        <v>207</v>
      </c>
      <c r="I586" s="3">
        <f>H586-G586</f>
        <v/>
      </c>
      <c r="J586" s="4">
        <f>IF(G586=0,"",(H586-G586)/G586)</f>
        <v/>
      </c>
      <c r="K586" s="4">
        <f>IF(G586=0,"",(H586-G586*0.891738)/(G586*0.891738))</f>
        <v/>
      </c>
      <c r="L586" s="3" t="n">
        <v>-3</v>
      </c>
      <c r="M586" s="3" t="n">
        <v>0</v>
      </c>
      <c r="N586" s="3" t="n">
        <v>-26</v>
      </c>
      <c r="O586" s="3" t="n">
        <v>0</v>
      </c>
      <c r="P586" s="3" t="n">
        <v>0</v>
      </c>
      <c r="Q586" s="3">
        <f>SUM(L586:P586)-I586</f>
        <v/>
      </c>
    </row>
    <row r="587">
      <c r="A587" s="2" t="inlineStr">
        <is>
          <t>mitchell-knevitt</t>
        </is>
      </c>
      <c r="B587" s="2" t="inlineStr">
        <is>
          <t>Mitchell Knevitt</t>
        </is>
      </c>
      <c r="C587" s="2" t="inlineStr">
        <is>
          <t>Geelong</t>
        </is>
      </c>
      <c r="D587" s="2" t="inlineStr">
        <is>
          <t>MID</t>
        </is>
      </c>
      <c r="E587" s="2" t="n">
        <v>23</v>
      </c>
      <c r="F587" s="2" t="inlineStr">
        <is>
          <t>National pick 25</t>
        </is>
      </c>
      <c r="G587" s="3" t="n">
        <v>127</v>
      </c>
      <c r="H587" s="3" t="n">
        <v>122</v>
      </c>
      <c r="I587" s="3">
        <f>H587-G587</f>
        <v/>
      </c>
      <c r="J587" s="4">
        <f>IF(G587=0,"",(H587-G587)/G587)</f>
        <v/>
      </c>
      <c r="K587" s="4">
        <f>IF(G587=0,"",(H587-G587*0.891738)/(G587*0.891738))</f>
        <v/>
      </c>
      <c r="L587" s="3" t="n">
        <v>0</v>
      </c>
      <c r="M587" s="3" t="n">
        <v>0</v>
      </c>
      <c r="N587" s="3" t="n">
        <v>-5</v>
      </c>
      <c r="O587" s="3" t="n">
        <v>0</v>
      </c>
      <c r="P587" s="3" t="n">
        <v>0</v>
      </c>
      <c r="Q587" s="3">
        <f>SUM(L587:P587)-I587</f>
        <v/>
      </c>
    </row>
    <row r="588">
      <c r="A588" s="2" t="inlineStr">
        <is>
          <t>deven-robertson</t>
        </is>
      </c>
      <c r="B588" s="2" t="inlineStr">
        <is>
          <t>Deven Robertson</t>
        </is>
      </c>
      <c r="C588" s="2" t="inlineStr">
        <is>
          <t>West Coast</t>
        </is>
      </c>
      <c r="D588" s="2" t="inlineStr">
        <is>
          <t>MID</t>
        </is>
      </c>
      <c r="E588" s="2" t="n">
        <v>25</v>
      </c>
      <c r="F588" s="2" t="inlineStr">
        <is>
          <t>National pick 22</t>
        </is>
      </c>
      <c r="G588" s="3" t="n">
        <v>170</v>
      </c>
      <c r="H588" s="3" t="n">
        <v>154</v>
      </c>
      <c r="I588" s="3">
        <f>H588-G588</f>
        <v/>
      </c>
      <c r="J588" s="4">
        <f>IF(G588=0,"",(H588-G588)/G588)</f>
        <v/>
      </c>
      <c r="K588" s="4">
        <f>IF(G588=0,"",(H588-G588*0.891738)/(G588*0.891738))</f>
        <v/>
      </c>
      <c r="L588" s="3" t="n">
        <v>3</v>
      </c>
      <c r="M588" s="3" t="n">
        <v>0</v>
      </c>
      <c r="N588" s="3" t="n">
        <v>-19</v>
      </c>
      <c r="O588" s="3" t="n">
        <v>0</v>
      </c>
      <c r="P588" s="3" t="n">
        <v>0</v>
      </c>
      <c r="Q588" s="3">
        <f>SUM(L588:P588)-I588</f>
        <v/>
      </c>
    </row>
    <row r="589">
      <c r="A589" s="2" t="inlineStr">
        <is>
          <t>liam-o-connell</t>
        </is>
      </c>
      <c r="B589" s="2" t="inlineStr">
        <is>
          <t>Liam O'Connell</t>
        </is>
      </c>
      <c r="C589" s="2" t="inlineStr">
        <is>
          <t>St Kilda</t>
        </is>
      </c>
      <c r="D589" s="2" t="inlineStr">
        <is>
          <t>SD</t>
        </is>
      </c>
      <c r="E589" s="2" t="n">
        <v>23</v>
      </c>
      <c r="F589" s="2" t="inlineStr">
        <is>
          <t>Post-Draft - Ireland (pool)</t>
        </is>
      </c>
      <c r="G589" s="3" t="n">
        <v>37</v>
      </c>
      <c r="H589" s="3" t="n">
        <v>37</v>
      </c>
      <c r="I589" s="3">
        <f>H589-G589</f>
        <v/>
      </c>
      <c r="J589" s="4">
        <f>IF(G589=0,"",(H589-G589)/G589)</f>
        <v/>
      </c>
      <c r="K589" s="4">
        <f>IF(G589=0,"",(H589-G589*0.891738)/(G589*0.891738))</f>
        <v/>
      </c>
      <c r="L589" s="3" t="n">
        <v>0</v>
      </c>
      <c r="M589" s="3" t="n">
        <v>0</v>
      </c>
      <c r="N589" s="3" t="n">
        <v>0</v>
      </c>
      <c r="O589" s="3" t="n">
        <v>0</v>
      </c>
      <c r="P589" s="3" t="n">
        <v>0</v>
      </c>
      <c r="Q589" s="3">
        <f>SUM(L589:P589)-I589</f>
        <v/>
      </c>
    </row>
    <row r="590">
      <c r="A590" s="2" t="inlineStr">
        <is>
          <t>will-lorenz</t>
        </is>
      </c>
      <c r="B590" s="2" t="inlineStr">
        <is>
          <t>Will Lorenz</t>
        </is>
      </c>
      <c r="C590" s="2" t="inlineStr">
        <is>
          <t>Port Adelaide</t>
        </is>
      </c>
      <c r="D590" s="2" t="inlineStr">
        <is>
          <t>MID</t>
        </is>
      </c>
      <c r="E590" s="2" t="n">
        <v>21</v>
      </c>
      <c r="F590" s="2" t="inlineStr">
        <is>
          <t>National pick 57</t>
        </is>
      </c>
      <c r="G590" s="3" t="n">
        <v>438</v>
      </c>
      <c r="H590" s="3" t="n">
        <v>375</v>
      </c>
      <c r="I590" s="3">
        <f>H590-G590</f>
        <v/>
      </c>
      <c r="J590" s="4">
        <f>IF(G590=0,"",(H590-G590)/G590)</f>
        <v/>
      </c>
      <c r="K590" s="4">
        <f>IF(G590=0,"",(H590-G590*0.891738)/(G590*0.891738))</f>
        <v/>
      </c>
      <c r="L590" s="3" t="n">
        <v>-15</v>
      </c>
      <c r="M590" s="3" t="n">
        <v>0</v>
      </c>
      <c r="N590" s="3" t="n">
        <v>-48</v>
      </c>
      <c r="O590" s="3" t="n">
        <v>0</v>
      </c>
      <c r="P590" s="3" t="n">
        <v>0</v>
      </c>
      <c r="Q590" s="3">
        <f>SUM(L590:P590)-I590</f>
        <v/>
      </c>
    </row>
    <row r="591">
      <c r="A591" s="2" t="inlineStr">
        <is>
          <t>saad-el-hawli</t>
        </is>
      </c>
      <c r="B591" s="2" t="inlineStr">
        <is>
          <t>Saad El-Hawli</t>
        </is>
      </c>
      <c r="C591" s="2" t="inlineStr">
        <is>
          <t>Essendon</t>
        </is>
      </c>
      <c r="D591" s="2" t="inlineStr">
        <is>
          <t>SD</t>
        </is>
      </c>
      <c r="E591" s="2" t="n">
        <v>25</v>
      </c>
      <c r="F591" s="2" t="inlineStr">
        <is>
          <t>Mid-Season pick 13</t>
        </is>
      </c>
      <c r="G591" s="3" t="n">
        <v>100</v>
      </c>
      <c r="H591" s="3" t="n">
        <v>100</v>
      </c>
      <c r="I591" s="3">
        <f>H591-G591</f>
        <v/>
      </c>
      <c r="J591" s="4">
        <f>IF(G591=0,"",(H591-G591)/G591)</f>
        <v/>
      </c>
      <c r="K591" s="4">
        <f>IF(G591=0,"",(H591-G591*0.891738)/(G591*0.891738))</f>
        <v/>
      </c>
      <c r="L591" s="3" t="n">
        <v>0</v>
      </c>
      <c r="M591" s="3" t="n">
        <v>0</v>
      </c>
      <c r="N591" s="3" t="n">
        <v>0</v>
      </c>
      <c r="O591" s="3" t="n">
        <v>0</v>
      </c>
      <c r="P591" s="3" t="n">
        <v>0</v>
      </c>
      <c r="Q591" s="3">
        <f>SUM(L591:P591)-I591</f>
        <v/>
      </c>
    </row>
    <row r="592">
      <c r="A592" s="2" t="inlineStr">
        <is>
          <t>will-hayward</t>
        </is>
      </c>
      <c r="B592" s="2" t="inlineStr">
        <is>
          <t>Will Hayward</t>
        </is>
      </c>
      <c r="C592" s="2" t="inlineStr">
        <is>
          <t>Carlton</t>
        </is>
      </c>
      <c r="D592" s="2" t="inlineStr">
        <is>
          <t>SF</t>
        </is>
      </c>
      <c r="E592" s="2" t="n">
        <v>28</v>
      </c>
      <c r="F592" s="2" t="inlineStr">
        <is>
          <t>National pick 21</t>
        </is>
      </c>
      <c r="G592" s="3" t="n">
        <v>206</v>
      </c>
      <c r="H592" s="3" t="n">
        <v>181</v>
      </c>
      <c r="I592" s="3">
        <f>H592-G592</f>
        <v/>
      </c>
      <c r="J592" s="4">
        <f>IF(G592=0,"",(H592-G592)/G592)</f>
        <v/>
      </c>
      <c r="K592" s="4">
        <f>IF(G592=0,"",(H592-G592*0.891738)/(G592*0.891738))</f>
        <v/>
      </c>
      <c r="L592" s="3" t="n">
        <v>-3</v>
      </c>
      <c r="M592" s="3" t="n">
        <v>0</v>
      </c>
      <c r="N592" s="3" t="n">
        <v>-22</v>
      </c>
      <c r="O592" s="3" t="n">
        <v>0</v>
      </c>
      <c r="P592" s="3" t="n">
        <v>0</v>
      </c>
      <c r="Q592" s="3">
        <f>SUM(L592:P592)-I592</f>
        <v/>
      </c>
    </row>
    <row r="593">
      <c r="A593" s="2" t="inlineStr">
        <is>
          <t>hugh-bond</t>
        </is>
      </c>
      <c r="B593" s="2" t="inlineStr">
        <is>
          <t>Hugh Bond</t>
        </is>
      </c>
      <c r="C593" s="2" t="inlineStr">
        <is>
          <t>Adelaide</t>
        </is>
      </c>
      <c r="D593" s="2" t="inlineStr">
        <is>
          <t>SD</t>
        </is>
      </c>
      <c r="E593" s="2" t="n">
        <v>22</v>
      </c>
      <c r="F593" s="2" t="inlineStr">
        <is>
          <t>National pick 50</t>
        </is>
      </c>
      <c r="G593" s="3" t="n">
        <v>154</v>
      </c>
      <c r="H593" s="3" t="n">
        <v>131</v>
      </c>
      <c r="I593" s="3">
        <f>H593-G593</f>
        <v/>
      </c>
      <c r="J593" s="4">
        <f>IF(G593=0,"",(H593-G593)/G593)</f>
        <v/>
      </c>
      <c r="K593" s="4">
        <f>IF(G593=0,"",(H593-G593*0.891738)/(G593*0.891738))</f>
        <v/>
      </c>
      <c r="L593" s="3" t="n">
        <v>-8</v>
      </c>
      <c r="M593" s="3" t="n">
        <v>0</v>
      </c>
      <c r="N593" s="3" t="n">
        <v>-15</v>
      </c>
      <c r="O593" s="3" t="n">
        <v>0</v>
      </c>
      <c r="P593" s="3" t="n">
        <v>0</v>
      </c>
      <c r="Q593" s="3">
        <f>SUM(L593:P593)-I593</f>
        <v/>
      </c>
    </row>
    <row r="594">
      <c r="A594" s="2" t="inlineStr">
        <is>
          <t>wil-parker</t>
        </is>
      </c>
      <c r="B594" s="2" t="inlineStr">
        <is>
          <t>Wil Parker</t>
        </is>
      </c>
      <c r="C594" s="2" t="inlineStr">
        <is>
          <t>Collingwood</t>
        </is>
      </c>
      <c r="D594" s="2" t="inlineStr">
        <is>
          <t>SD</t>
        </is>
      </c>
      <c r="E594" s="2" t="n">
        <v>24</v>
      </c>
      <c r="F594" s="2" t="inlineStr">
        <is>
          <t>Post-Draft - Unregistered (pool)</t>
        </is>
      </c>
      <c r="G594" s="3" t="n">
        <v>29</v>
      </c>
      <c r="H594" s="3" t="n">
        <v>29</v>
      </c>
      <c r="I594" s="3">
        <f>H594-G594</f>
        <v/>
      </c>
      <c r="J594" s="4">
        <f>IF(G594=0,"",(H594-G594)/G594)</f>
        <v/>
      </c>
      <c r="K594" s="4">
        <f>IF(G594=0,"",(H594-G594*0.891738)/(G594*0.891738))</f>
        <v/>
      </c>
      <c r="L594" s="3" t="n">
        <v>0</v>
      </c>
      <c r="M594" s="3" t="n">
        <v>0</v>
      </c>
      <c r="N594" s="3" t="n">
        <v>0</v>
      </c>
      <c r="O594" s="3" t="n">
        <v>0</v>
      </c>
      <c r="P594" s="3" t="n">
        <v>0</v>
      </c>
      <c r="Q594" s="3">
        <f>SUM(L594:P594)-I594</f>
        <v/>
      </c>
    </row>
    <row r="595">
      <c r="A595" s="2" t="inlineStr">
        <is>
          <t>daniel-mcstay</t>
        </is>
      </c>
      <c r="B595" s="2" t="inlineStr">
        <is>
          <t>Daniel McStay</t>
        </is>
      </c>
      <c r="C595" s="2" t="inlineStr">
        <is>
          <t>Collingwood</t>
        </is>
      </c>
      <c r="D595" s="2" t="inlineStr">
        <is>
          <t>KPF</t>
        </is>
      </c>
      <c r="E595" s="2" t="n">
        <v>31</v>
      </c>
      <c r="F595" s="2" t="inlineStr">
        <is>
          <t>National pick 25</t>
        </is>
      </c>
      <c r="G595" s="3" t="n">
        <v>216</v>
      </c>
      <c r="H595" s="3" t="n">
        <v>190</v>
      </c>
      <c r="I595" s="3">
        <f>H595-G595</f>
        <v/>
      </c>
      <c r="J595" s="4">
        <f>IF(G595=0,"",(H595-G595)/G595)</f>
        <v/>
      </c>
      <c r="K595" s="4">
        <f>IF(G595=0,"",(H595-G595*0.891738)/(G595*0.891738))</f>
        <v/>
      </c>
      <c r="L595" s="3" t="n">
        <v>-3</v>
      </c>
      <c r="M595" s="3" t="n">
        <v>0</v>
      </c>
      <c r="N595" s="3" t="n">
        <v>-23</v>
      </c>
      <c r="O595" s="3" t="n">
        <v>0</v>
      </c>
      <c r="P595" s="3" t="n">
        <v>0</v>
      </c>
      <c r="Q595" s="3">
        <f>SUM(L595:P595)-I595</f>
        <v/>
      </c>
    </row>
    <row r="596">
      <c r="A596" s="2" t="inlineStr">
        <is>
          <t>brennan-cox</t>
        </is>
      </c>
      <c r="B596" s="2" t="inlineStr">
        <is>
          <t>Brennan Cox</t>
        </is>
      </c>
      <c r="C596" s="2" t="inlineStr">
        <is>
          <t>Fremantle</t>
        </is>
      </c>
      <c r="D596" s="2" t="inlineStr">
        <is>
          <t>KPD</t>
        </is>
      </c>
      <c r="E596" s="2" t="n">
        <v>28</v>
      </c>
      <c r="F596" s="2" t="inlineStr">
        <is>
          <t>National pick 41</t>
        </is>
      </c>
      <c r="G596" s="3" t="n">
        <v>264</v>
      </c>
      <c r="H596" s="3" t="n">
        <v>232</v>
      </c>
      <c r="I596" s="3">
        <f>H596-G596</f>
        <v/>
      </c>
      <c r="J596" s="4">
        <f>IF(G596=0,"",(H596-G596)/G596)</f>
        <v/>
      </c>
      <c r="K596" s="4">
        <f>IF(G596=0,"",(H596-G596*0.891738)/(G596*0.891738))</f>
        <v/>
      </c>
      <c r="L596" s="3" t="n">
        <v>-4</v>
      </c>
      <c r="M596" s="3" t="n">
        <v>0</v>
      </c>
      <c r="N596" s="3" t="n">
        <v>-28</v>
      </c>
      <c r="O596" s="3" t="n">
        <v>0</v>
      </c>
      <c r="P596" s="3" t="n">
        <v>0</v>
      </c>
      <c r="Q596" s="3">
        <f>SUM(L596:P596)-I596</f>
        <v/>
      </c>
    </row>
    <row r="597">
      <c r="A597" s="2" t="inlineStr">
        <is>
          <t>liam-reidy</t>
        </is>
      </c>
      <c r="B597" s="2" t="inlineStr">
        <is>
          <t>Liam Reidy</t>
        </is>
      </c>
      <c r="C597" s="2" t="inlineStr">
        <is>
          <t>Carlton</t>
        </is>
      </c>
      <c r="D597" s="2" t="inlineStr">
        <is>
          <t>RUCK</t>
        </is>
      </c>
      <c r="E597" s="2" t="n">
        <v>26</v>
      </c>
      <c r="F597" s="2" t="inlineStr">
        <is>
          <t>Rookie pick 4</t>
        </is>
      </c>
      <c r="G597" s="3" t="n">
        <v>328</v>
      </c>
      <c r="H597" s="3" t="n">
        <v>280</v>
      </c>
      <c r="I597" s="3">
        <f>H597-G597</f>
        <v/>
      </c>
      <c r="J597" s="4">
        <f>IF(G597=0,"",(H597-G597)/G597)</f>
        <v/>
      </c>
      <c r="K597" s="4">
        <f>IF(G597=0,"",(H597-G597*0.891738)/(G597*0.891738))</f>
        <v/>
      </c>
      <c r="L597" s="3" t="n">
        <v>35</v>
      </c>
      <c r="M597" s="3" t="n">
        <v>0</v>
      </c>
      <c r="N597" s="3" t="n">
        <v>-34</v>
      </c>
      <c r="O597" s="3" t="n">
        <v>-25</v>
      </c>
      <c r="P597" s="3" t="n">
        <v>-24</v>
      </c>
      <c r="Q597" s="3">
        <f>SUM(L597:P597)-I597</f>
        <v/>
      </c>
    </row>
    <row r="598">
      <c r="A598" s="2" t="inlineStr">
        <is>
          <t>jack-henderson</t>
        </is>
      </c>
      <c r="B598" s="2" t="inlineStr">
        <is>
          <t>Jack Henderson</t>
        </is>
      </c>
      <c r="C598" s="2" t="inlineStr">
        <is>
          <t>Melbourne</t>
        </is>
      </c>
      <c r="D598" s="2" t="inlineStr">
        <is>
          <t>SF</t>
        </is>
      </c>
      <c r="E598" s="2" t="n">
        <v>27</v>
      </c>
      <c r="F598" s="2" t="inlineStr">
        <is>
          <t>SSP (pool)</t>
        </is>
      </c>
      <c r="G598" s="3" t="n">
        <v>105</v>
      </c>
      <c r="H598" s="3" t="n">
        <v>105</v>
      </c>
      <c r="I598" s="3">
        <f>H598-G598</f>
        <v/>
      </c>
      <c r="J598" s="4">
        <f>IF(G598=0,"",(H598-G598)/G598)</f>
        <v/>
      </c>
      <c r="K598" s="4">
        <f>IF(G598=0,"",(H598-G598*0.891738)/(G598*0.891738))</f>
        <v/>
      </c>
      <c r="L598" s="3" t="n">
        <v>0</v>
      </c>
      <c r="M598" s="3" t="n">
        <v>0</v>
      </c>
      <c r="N598" s="3" t="n">
        <v>0</v>
      </c>
      <c r="O598" s="3" t="n">
        <v>0</v>
      </c>
      <c r="P598" s="3" t="n">
        <v>0</v>
      </c>
      <c r="Q598" s="3">
        <f>SUM(L598:P598)-I598</f>
        <v/>
      </c>
    </row>
    <row r="599">
      <c r="A599" s="2" t="inlineStr">
        <is>
          <t>sam-powell-pepper</t>
        </is>
      </c>
      <c r="B599" s="2" t="inlineStr">
        <is>
          <t>Sam Powell-Pepper</t>
        </is>
      </c>
      <c r="C599" s="2" t="inlineStr">
        <is>
          <t>Port Adelaide</t>
        </is>
      </c>
      <c r="D599" s="2" t="inlineStr">
        <is>
          <t>SF</t>
        </is>
      </c>
      <c r="E599" s="2" t="n">
        <v>28</v>
      </c>
      <c r="F599" s="2" t="inlineStr">
        <is>
          <t>National pick 18</t>
        </is>
      </c>
      <c r="G599" s="3" t="n">
        <v>174</v>
      </c>
      <c r="H599" s="3" t="n">
        <v>154</v>
      </c>
      <c r="I599" s="3">
        <f>H599-G599</f>
        <v/>
      </c>
      <c r="J599" s="4">
        <f>IF(G599=0,"",(H599-G599)/G599)</f>
        <v/>
      </c>
      <c r="K599" s="4">
        <f>IF(G599=0,"",(H599-G599*0.891738)/(G599*0.891738))</f>
        <v/>
      </c>
      <c r="L599" s="3" t="n">
        <v>-3</v>
      </c>
      <c r="M599" s="3" t="n">
        <v>0</v>
      </c>
      <c r="N599" s="3" t="n">
        <v>-17</v>
      </c>
      <c r="O599" s="3" t="n">
        <v>0</v>
      </c>
      <c r="P599" s="3" t="n">
        <v>0</v>
      </c>
      <c r="Q599" s="3">
        <f>SUM(L599:P599)-I599</f>
        <v/>
      </c>
    </row>
    <row r="600">
      <c r="A600" s="2" t="inlineStr">
        <is>
          <t>ben-keays</t>
        </is>
      </c>
      <c r="B600" s="2" t="inlineStr">
        <is>
          <t>Ben Keays</t>
        </is>
      </c>
      <c r="C600" s="2" t="inlineStr">
        <is>
          <t>Adelaide</t>
        </is>
      </c>
      <c r="D600" s="2" t="inlineStr">
        <is>
          <t>SF</t>
        </is>
      </c>
      <c r="E600" s="2" t="n">
        <v>29</v>
      </c>
      <c r="F600" s="2" t="inlineStr">
        <is>
          <t>National pick 24</t>
        </is>
      </c>
      <c r="G600" s="3" t="n">
        <v>263</v>
      </c>
      <c r="H600" s="3" t="n">
        <v>231</v>
      </c>
      <c r="I600" s="3">
        <f>H600-G600</f>
        <v/>
      </c>
      <c r="J600" s="4">
        <f>IF(G600=0,"",(H600-G600)/G600)</f>
        <v/>
      </c>
      <c r="K600" s="4">
        <f>IF(G600=0,"",(H600-G600*0.891738)/(G600*0.891738))</f>
        <v/>
      </c>
      <c r="L600" s="3" t="n">
        <v>-4</v>
      </c>
      <c r="M600" s="3" t="n">
        <v>0</v>
      </c>
      <c r="N600" s="3" t="n">
        <v>-28</v>
      </c>
      <c r="O600" s="3" t="n">
        <v>0</v>
      </c>
      <c r="P600" s="3" t="n">
        <v>0</v>
      </c>
      <c r="Q600" s="3">
        <f>SUM(L600:P600)-I600</f>
        <v/>
      </c>
    </row>
    <row r="601">
      <c r="A601" s="2" t="inlineStr">
        <is>
          <t>luke-nankervis</t>
        </is>
      </c>
      <c r="B601" s="2" t="inlineStr">
        <is>
          <t>Luke Nankervis</t>
        </is>
      </c>
      <c r="C601" s="2" t="inlineStr">
        <is>
          <t>Adelaide</t>
        </is>
      </c>
      <c r="D601" s="2" t="inlineStr">
        <is>
          <t>SD</t>
        </is>
      </c>
      <c r="E601" s="2" t="n">
        <v>23</v>
      </c>
      <c r="F601" s="2" t="inlineStr">
        <is>
          <t>Rookie pick 1</t>
        </is>
      </c>
      <c r="G601" s="3" t="n">
        <v>372</v>
      </c>
      <c r="H601" s="3" t="n">
        <v>315</v>
      </c>
      <c r="I601" s="3">
        <f>H601-G601</f>
        <v/>
      </c>
      <c r="J601" s="4">
        <f>IF(G601=0,"",(H601-G601)/G601)</f>
        <v/>
      </c>
      <c r="K601" s="4">
        <f>IF(G601=0,"",(H601-G601*0.891738)/(G601*0.891738))</f>
        <v/>
      </c>
      <c r="L601" s="3" t="n">
        <v>-19</v>
      </c>
      <c r="M601" s="3" t="n">
        <v>0</v>
      </c>
      <c r="N601" s="3" t="n">
        <v>-38</v>
      </c>
      <c r="O601" s="3" t="n">
        <v>0</v>
      </c>
      <c r="P601" s="3" t="n">
        <v>0</v>
      </c>
      <c r="Q601" s="3">
        <f>SUM(L601:P601)-I601</f>
        <v/>
      </c>
    </row>
    <row r="602">
      <c r="A602" s="2" t="inlineStr">
        <is>
          <t>reece-torrent</t>
        </is>
      </c>
      <c r="B602" s="2" t="inlineStr">
        <is>
          <t>Reece Torrent</t>
        </is>
      </c>
      <c r="C602" s="2" t="inlineStr">
        <is>
          <t>Brisbane</t>
        </is>
      </c>
      <c r="D602" s="2" t="inlineStr">
        <is>
          <t>MID</t>
        </is>
      </c>
      <c r="E602" s="2" t="n">
        <v>21</v>
      </c>
      <c r="F602" s="2" t="inlineStr">
        <is>
          <t>National pick 64</t>
        </is>
      </c>
      <c r="G602" s="3" t="n">
        <v>80</v>
      </c>
      <c r="H602" s="3" t="n">
        <v>78</v>
      </c>
      <c r="I602" s="3">
        <f>H602-G602</f>
        <v/>
      </c>
      <c r="J602" s="4">
        <f>IF(G602=0,"",(H602-G602)/G602)</f>
        <v/>
      </c>
      <c r="K602" s="4">
        <f>IF(G602=0,"",(H602-G602*0.891738)/(G602*0.891738))</f>
        <v/>
      </c>
      <c r="L602" s="3" t="n">
        <v>0</v>
      </c>
      <c r="M602" s="3" t="n">
        <v>0</v>
      </c>
      <c r="N602" s="3" t="n">
        <v>-2</v>
      </c>
      <c r="O602" s="3" t="n">
        <v>0</v>
      </c>
      <c r="P602" s="3" t="n">
        <v>0</v>
      </c>
      <c r="Q602" s="3">
        <f>SUM(L602:P602)-I602</f>
        <v/>
      </c>
    </row>
    <row r="603">
      <c r="A603" s="2" t="inlineStr">
        <is>
          <t>kaleb-smith</t>
        </is>
      </c>
      <c r="B603" s="2" t="inlineStr">
        <is>
          <t>Kaleb Smith</t>
        </is>
      </c>
      <c r="C603" s="2" t="inlineStr">
        <is>
          <t>Richmond</t>
        </is>
      </c>
      <c r="D603" s="2" t="inlineStr">
        <is>
          <t>SD</t>
        </is>
      </c>
      <c r="E603" s="2" t="n">
        <v>22</v>
      </c>
      <c r="F603" s="2" t="inlineStr">
        <is>
          <t>National pick 49</t>
        </is>
      </c>
      <c r="G603" s="3" t="n">
        <v>67</v>
      </c>
      <c r="H603" s="3" t="n">
        <v>59</v>
      </c>
      <c r="I603" s="3">
        <f>H603-G603</f>
        <v/>
      </c>
      <c r="J603" s="4">
        <f>IF(G603=0,"",(H603-G603)/G603)</f>
        <v/>
      </c>
      <c r="K603" s="4">
        <f>IF(G603=0,"",(H603-G603*0.891738)/(G603*0.891738))</f>
        <v/>
      </c>
      <c r="L603" s="3" t="n">
        <v>0</v>
      </c>
      <c r="M603" s="3" t="n">
        <v>0</v>
      </c>
      <c r="N603" s="3" t="n">
        <v>-8</v>
      </c>
      <c r="O603" s="3" t="n">
        <v>0</v>
      </c>
      <c r="P603" s="3" t="n">
        <v>0</v>
      </c>
      <c r="Q603" s="3">
        <f>SUM(L603:P603)-I603</f>
        <v/>
      </c>
    </row>
    <row r="604">
      <c r="A604" s="2" t="inlineStr">
        <is>
          <t>liam-duggan</t>
        </is>
      </c>
      <c r="B604" s="2" t="inlineStr">
        <is>
          <t>Liam Duggan</t>
        </is>
      </c>
      <c r="C604" s="2" t="inlineStr">
        <is>
          <t>West Coast</t>
        </is>
      </c>
      <c r="D604" s="2" t="inlineStr">
        <is>
          <t>SD</t>
        </is>
      </c>
      <c r="E604" s="2" t="n">
        <v>30</v>
      </c>
      <c r="F604" s="2" t="inlineStr">
        <is>
          <t>National pick 12</t>
        </is>
      </c>
      <c r="G604" s="3" t="n">
        <v>277</v>
      </c>
      <c r="H604" s="3" t="n">
        <v>243</v>
      </c>
      <c r="I604" s="3">
        <f>H604-G604</f>
        <v/>
      </c>
      <c r="J604" s="4">
        <f>IF(G604=0,"",(H604-G604)/G604)</f>
        <v/>
      </c>
      <c r="K604" s="4">
        <f>IF(G604=0,"",(H604-G604*0.891738)/(G604*0.891738))</f>
        <v/>
      </c>
      <c r="L604" s="3" t="n">
        <v>-4</v>
      </c>
      <c r="M604" s="3" t="n">
        <v>0</v>
      </c>
      <c r="N604" s="3" t="n">
        <v>-30</v>
      </c>
      <c r="O604" s="3" t="n">
        <v>0</v>
      </c>
      <c r="P604" s="3" t="n">
        <v>0</v>
      </c>
      <c r="Q604" s="3">
        <f>SUM(L604:P604)-I604</f>
        <v/>
      </c>
    </row>
    <row r="605">
      <c r="A605" s="2" t="inlineStr">
        <is>
          <t>rhys-unwin</t>
        </is>
      </c>
      <c r="B605" s="2" t="inlineStr">
        <is>
          <t>Rhys Unwin</t>
        </is>
      </c>
      <c r="C605" s="2" t="inlineStr">
        <is>
          <t>Essendon</t>
        </is>
      </c>
      <c r="D605" s="2" t="inlineStr">
        <is>
          <t>SF</t>
        </is>
      </c>
      <c r="E605" s="2" t="n">
        <v>20</v>
      </c>
      <c r="F605" s="2" t="inlineStr">
        <is>
          <t>National pick 61</t>
        </is>
      </c>
      <c r="G605" s="3" t="n">
        <v>112</v>
      </c>
      <c r="H605" s="3" t="n">
        <v>69</v>
      </c>
      <c r="I605" s="3">
        <f>H605-G605</f>
        <v/>
      </c>
      <c r="J605" s="4">
        <f>IF(G605=0,"",(H605-G605)/G605)</f>
        <v/>
      </c>
      <c r="K605" s="4">
        <f>IF(G605=0,"",(H605-G605*0.891738)/(G605*0.891738))</f>
        <v/>
      </c>
      <c r="L605" s="3" t="n">
        <v>-10</v>
      </c>
      <c r="M605" s="3" t="n">
        <v>0</v>
      </c>
      <c r="N605" s="3" t="n">
        <v>-10</v>
      </c>
      <c r="O605" s="3" t="n">
        <v>-12</v>
      </c>
      <c r="P605" s="3" t="n">
        <v>-11</v>
      </c>
      <c r="Q605" s="3">
        <f>SUM(L605:P605)-I605</f>
        <v/>
      </c>
    </row>
    <row r="606">
      <c r="A606" s="2" t="inlineStr">
        <is>
          <t>tom-hanily</t>
        </is>
      </c>
      <c r="B606" s="2" t="inlineStr">
        <is>
          <t>Tom Hanily</t>
        </is>
      </c>
      <c r="C606" s="2" t="inlineStr">
        <is>
          <t>Sydney</t>
        </is>
      </c>
      <c r="D606" s="2" t="inlineStr">
        <is>
          <t>SF</t>
        </is>
      </c>
      <c r="E606" s="2" t="n">
        <v>21</v>
      </c>
      <c r="F606" s="2" t="inlineStr">
        <is>
          <t>Mid-Season pick 14</t>
        </is>
      </c>
      <c r="G606" s="3" t="n">
        <v>162</v>
      </c>
      <c r="H606" s="3" t="n">
        <v>100</v>
      </c>
      <c r="I606" s="3">
        <f>H606-G606</f>
        <v/>
      </c>
      <c r="J606" s="4">
        <f>IF(G606=0,"",(H606-G606)/G606)</f>
        <v/>
      </c>
      <c r="K606" s="4">
        <f>IF(G606=0,"",(H606-G606*0.891738)/(G606*0.891738))</f>
        <v/>
      </c>
      <c r="L606" s="3" t="n">
        <v>-62</v>
      </c>
      <c r="M606" s="3" t="n">
        <v>0</v>
      </c>
      <c r="N606" s="3" t="n">
        <v>0</v>
      </c>
      <c r="O606" s="3" t="n">
        <v>0</v>
      </c>
      <c r="P606" s="3" t="n">
        <v>0</v>
      </c>
      <c r="Q606" s="3">
        <f>SUM(L606:P606)-I606</f>
        <v/>
      </c>
    </row>
    <row r="607">
      <c r="A607" s="2" t="inlineStr">
        <is>
          <t>bailey-macdonald</t>
        </is>
      </c>
      <c r="B607" s="2" t="inlineStr">
        <is>
          <t>Bailey Macdonald</t>
        </is>
      </c>
      <c r="C607" s="2" t="inlineStr">
        <is>
          <t>Hawthorn</t>
        </is>
      </c>
      <c r="D607" s="2" t="inlineStr">
        <is>
          <t>SD</t>
        </is>
      </c>
      <c r="E607" s="2" t="n">
        <v>22</v>
      </c>
      <c r="F607" s="2" t="inlineStr">
        <is>
          <t>National pick 51</t>
        </is>
      </c>
      <c r="G607" s="3" t="n">
        <v>142</v>
      </c>
      <c r="H607" s="3" t="n">
        <v>124</v>
      </c>
      <c r="I607" s="3">
        <f>H607-G607</f>
        <v/>
      </c>
      <c r="J607" s="4">
        <f>IF(G607=0,"",(H607-G607)/G607)</f>
        <v/>
      </c>
      <c r="K607" s="4">
        <f>IF(G607=0,"",(H607-G607*0.891738)/(G607*0.891738))</f>
        <v/>
      </c>
      <c r="L607" s="3" t="n">
        <v>-1</v>
      </c>
      <c r="M607" s="3" t="n">
        <v>0</v>
      </c>
      <c r="N607" s="3" t="n">
        <v>-17</v>
      </c>
      <c r="O607" s="3" t="n">
        <v>0</v>
      </c>
      <c r="P607" s="3" t="n">
        <v>0</v>
      </c>
      <c r="Q607" s="3">
        <f>SUM(L607:P607)-I607</f>
        <v/>
      </c>
    </row>
    <row r="608">
      <c r="A608" s="2" t="inlineStr">
        <is>
          <t>christian-salem</t>
        </is>
      </c>
      <c r="B608" s="2" t="inlineStr">
        <is>
          <t>Christian Salem</t>
        </is>
      </c>
      <c r="C608" s="2" t="inlineStr">
        <is>
          <t>Melbourne</t>
        </is>
      </c>
      <c r="D608" s="2" t="inlineStr">
        <is>
          <t>SD</t>
        </is>
      </c>
      <c r="E608" s="2" t="n">
        <v>31</v>
      </c>
      <c r="F608" s="2" t="inlineStr">
        <is>
          <t>National pick 9</t>
        </is>
      </c>
      <c r="G608" s="3" t="n">
        <v>232</v>
      </c>
      <c r="H608" s="3" t="n">
        <v>203</v>
      </c>
      <c r="I608" s="3">
        <f>H608-G608</f>
        <v/>
      </c>
      <c r="J608" s="4">
        <f>IF(G608=0,"",(H608-G608)/G608)</f>
        <v/>
      </c>
      <c r="K608" s="4">
        <f>IF(G608=0,"",(H608-G608*0.891738)/(G608*0.891738))</f>
        <v/>
      </c>
      <c r="L608" s="3" t="n">
        <v>-3</v>
      </c>
      <c r="M608" s="3" t="n">
        <v>0</v>
      </c>
      <c r="N608" s="3" t="n">
        <v>-26</v>
      </c>
      <c r="O608" s="3" t="n">
        <v>0</v>
      </c>
      <c r="P608" s="3" t="n">
        <v>0</v>
      </c>
      <c r="Q608" s="3">
        <f>SUM(L608:P608)-I608</f>
        <v/>
      </c>
    </row>
    <row r="609">
      <c r="A609" s="2" t="inlineStr">
        <is>
          <t>nick-murray</t>
        </is>
      </c>
      <c r="B609" s="2" t="inlineStr">
        <is>
          <t>Nick Murray</t>
        </is>
      </c>
      <c r="C609" s="2" t="inlineStr">
        <is>
          <t>Adelaide</t>
        </is>
      </c>
      <c r="D609" s="2" t="inlineStr">
        <is>
          <t>KPD</t>
        </is>
      </c>
      <c r="E609" s="2" t="n">
        <v>26</v>
      </c>
      <c r="F609" s="2" t="inlineStr">
        <is>
          <t>SSP (pool)</t>
        </is>
      </c>
      <c r="G609" s="3" t="n">
        <v>329</v>
      </c>
      <c r="H609" s="3" t="n">
        <v>287</v>
      </c>
      <c r="I609" s="3">
        <f>H609-G609</f>
        <v/>
      </c>
      <c r="J609" s="4">
        <f>IF(G609=0,"",(H609-G609)/G609)</f>
        <v/>
      </c>
      <c r="K609" s="4">
        <f>IF(G609=0,"",(H609-G609*0.891738)/(G609*0.891738))</f>
        <v/>
      </c>
      <c r="L609" s="3" t="n">
        <v>-7</v>
      </c>
      <c r="M609" s="3" t="n">
        <v>0</v>
      </c>
      <c r="N609" s="3" t="n">
        <v>-35</v>
      </c>
      <c r="O609" s="3" t="n">
        <v>0</v>
      </c>
      <c r="P609" s="3" t="n">
        <v>0</v>
      </c>
      <c r="Q609" s="3">
        <f>SUM(L609:P609)-I609</f>
        <v/>
      </c>
    </row>
    <row r="610">
      <c r="A610" s="2" t="inlineStr">
        <is>
          <t>jayden-laverde</t>
        </is>
      </c>
      <c r="B610" s="2" t="inlineStr">
        <is>
          <t>Jayden Laverde</t>
        </is>
      </c>
      <c r="C610" s="2" t="inlineStr">
        <is>
          <t>Essendon</t>
        </is>
      </c>
      <c r="D610" s="2" t="inlineStr">
        <is>
          <t>KPD</t>
        </is>
      </c>
      <c r="E610" s="2" t="n">
        <v>30</v>
      </c>
      <c r="F610" s="2" t="inlineStr">
        <is>
          <t>National pick 20</t>
        </is>
      </c>
      <c r="G610" s="3" t="n">
        <v>196</v>
      </c>
      <c r="H610" s="3" t="n">
        <v>173</v>
      </c>
      <c r="I610" s="3">
        <f>H610-G610</f>
        <v/>
      </c>
      <c r="J610" s="4">
        <f>IF(G610=0,"",(H610-G610)/G610)</f>
        <v/>
      </c>
      <c r="K610" s="4">
        <f>IF(G610=0,"",(H610-G610*0.891738)/(G610*0.891738))</f>
        <v/>
      </c>
      <c r="L610" s="3" t="n">
        <v>-3</v>
      </c>
      <c r="M610" s="3" t="n">
        <v>0</v>
      </c>
      <c r="N610" s="3" t="n">
        <v>-20</v>
      </c>
      <c r="O610" s="3" t="n">
        <v>0</v>
      </c>
      <c r="P610" s="3" t="n">
        <v>0</v>
      </c>
      <c r="Q610" s="3">
        <f>SUM(L610:P610)-I610</f>
        <v/>
      </c>
    </row>
    <row r="611">
      <c r="A611" s="2" t="inlineStr">
        <is>
          <t>reef-mcinnes</t>
        </is>
      </c>
      <c r="B611" s="2" t="inlineStr">
        <is>
          <t>Reef McInnes</t>
        </is>
      </c>
      <c r="C611" s="2" t="inlineStr">
        <is>
          <t>Collingwood</t>
        </is>
      </c>
      <c r="D611" s="2" t="inlineStr">
        <is>
          <t>KPD</t>
        </is>
      </c>
      <c r="E611" s="2" t="n">
        <v>24</v>
      </c>
      <c r="F611" s="2" t="inlineStr">
        <is>
          <t>National pick 24</t>
        </is>
      </c>
      <c r="G611" s="3" t="n">
        <v>54</v>
      </c>
      <c r="H611" s="3" t="n">
        <v>52</v>
      </c>
      <c r="I611" s="3">
        <f>H611-G611</f>
        <v/>
      </c>
      <c r="J611" s="4">
        <f>IF(G611=0,"",(H611-G611)/G611)</f>
        <v/>
      </c>
      <c r="K611" s="4">
        <f>IF(G611=0,"",(H611-G611*0.891738)/(G611*0.891738))</f>
        <v/>
      </c>
      <c r="L611" s="3" t="n">
        <v>0</v>
      </c>
      <c r="M611" s="3" t="n">
        <v>0</v>
      </c>
      <c r="N611" s="3" t="n">
        <v>-2</v>
      </c>
      <c r="O611" s="3" t="n">
        <v>0</v>
      </c>
      <c r="P611" s="3" t="n">
        <v>0</v>
      </c>
      <c r="Q611" s="3">
        <f>SUM(L611:P611)-I611</f>
        <v/>
      </c>
    </row>
    <row r="612">
      <c r="A612" s="2" t="inlineStr">
        <is>
          <t>archie-perkins</t>
        </is>
      </c>
      <c r="B612" s="2" t="inlineStr">
        <is>
          <t>Archie Perkins</t>
        </is>
      </c>
      <c r="C612" s="2" t="inlineStr">
        <is>
          <t>Essendon</t>
        </is>
      </c>
      <c r="D612" s="2" t="inlineStr">
        <is>
          <t>SF</t>
        </is>
      </c>
      <c r="E612" s="2" t="n">
        <v>24</v>
      </c>
      <c r="F612" s="2" t="inlineStr">
        <is>
          <t>National pick 9</t>
        </is>
      </c>
      <c r="G612" s="3" t="n">
        <v>234</v>
      </c>
      <c r="H612" s="3" t="n">
        <v>205</v>
      </c>
      <c r="I612" s="3">
        <f>H612-G612</f>
        <v/>
      </c>
      <c r="J612" s="4">
        <f>IF(G612=0,"",(H612-G612)/G612)</f>
        <v/>
      </c>
      <c r="K612" s="4">
        <f>IF(G612=0,"",(H612-G612*0.891738)/(G612*0.891738))</f>
        <v/>
      </c>
      <c r="L612" s="3" t="n">
        <v>-3</v>
      </c>
      <c r="M612" s="3" t="n">
        <v>0</v>
      </c>
      <c r="N612" s="3" t="n">
        <v>-26</v>
      </c>
      <c r="O612" s="3" t="n">
        <v>0</v>
      </c>
      <c r="P612" s="3" t="n">
        <v>0</v>
      </c>
      <c r="Q612" s="3">
        <f>SUM(L612:P612)-I612</f>
        <v/>
      </c>
    </row>
    <row r="613">
      <c r="A613" s="2" t="inlineStr">
        <is>
          <t>ryan-angwin</t>
        </is>
      </c>
      <c r="B613" s="2" t="inlineStr">
        <is>
          <t>Ryan Angwin</t>
        </is>
      </c>
      <c r="C613" s="2" t="inlineStr">
        <is>
          <t>GWS</t>
        </is>
      </c>
      <c r="D613" s="2" t="inlineStr">
        <is>
          <t>MID</t>
        </is>
      </c>
      <c r="E613" s="2" t="n">
        <v>24</v>
      </c>
      <c r="F613" s="2" t="inlineStr">
        <is>
          <t>National pick 19</t>
        </is>
      </c>
      <c r="G613" s="3" t="n">
        <v>471</v>
      </c>
      <c r="H613" s="3" t="n">
        <v>403</v>
      </c>
      <c r="I613" s="3">
        <f>H613-G613</f>
        <v/>
      </c>
      <c r="J613" s="4">
        <f>IF(G613=0,"",(H613-G613)/G613)</f>
        <v/>
      </c>
      <c r="K613" s="4">
        <f>IF(G613=0,"",(H613-G613*0.891738)/(G613*0.891738))</f>
        <v/>
      </c>
      <c r="L613" s="3" t="n">
        <v>-19</v>
      </c>
      <c r="M613" s="3" t="n">
        <v>0</v>
      </c>
      <c r="N613" s="3" t="n">
        <v>-49</v>
      </c>
      <c r="O613" s="3" t="n">
        <v>0</v>
      </c>
      <c r="P613" s="3" t="n">
        <v>0</v>
      </c>
      <c r="Q613" s="3">
        <f>SUM(L613:P613)-I613</f>
        <v/>
      </c>
    </row>
    <row r="614">
      <c r="A614" s="2" t="inlineStr">
        <is>
          <t>alex-davies</t>
        </is>
      </c>
      <c r="B614" s="2" t="inlineStr">
        <is>
          <t>Alex Davies</t>
        </is>
      </c>
      <c r="C614" s="2" t="inlineStr">
        <is>
          <t>Gold Coast</t>
        </is>
      </c>
      <c r="D614" s="2" t="inlineStr">
        <is>
          <t>MID</t>
        </is>
      </c>
      <c r="E614" s="2" t="n">
        <v>24</v>
      </c>
      <c r="F614" s="2" t="inlineStr">
        <is>
          <t>National pick 17</t>
        </is>
      </c>
      <c r="G614" s="3" t="n">
        <v>412</v>
      </c>
      <c r="H614" s="3" t="n">
        <v>360</v>
      </c>
      <c r="I614" s="3">
        <f>H614-G614</f>
        <v/>
      </c>
      <c r="J614" s="4">
        <f>IF(G614=0,"",(H614-G614)/G614)</f>
        <v/>
      </c>
      <c r="K614" s="4">
        <f>IF(G614=0,"",(H614-G614*0.891738)/(G614*0.891738))</f>
        <v/>
      </c>
      <c r="L614" s="3" t="n">
        <v>-8</v>
      </c>
      <c r="M614" s="3" t="n">
        <v>0</v>
      </c>
      <c r="N614" s="3" t="n">
        <v>-44</v>
      </c>
      <c r="O614" s="3" t="n">
        <v>0</v>
      </c>
      <c r="P614" s="3" t="n">
        <v>0</v>
      </c>
      <c r="Q614" s="3">
        <f>SUM(L614:P614)-I614</f>
        <v/>
      </c>
    </row>
    <row r="615">
      <c r="A615" s="2" t="inlineStr">
        <is>
          <t>will-mclachlan</t>
        </is>
      </c>
      <c r="B615" s="2" t="inlineStr">
        <is>
          <t>Will McLachlan</t>
        </is>
      </c>
      <c r="C615" s="2" t="inlineStr">
        <is>
          <t>Brisbane</t>
        </is>
      </c>
      <c r="D615" s="2" t="inlineStr">
        <is>
          <t>SF</t>
        </is>
      </c>
      <c r="E615" s="2" t="n">
        <v>21</v>
      </c>
      <c r="F615" s="2" t="inlineStr">
        <is>
          <t>Mid-Season pick 6</t>
        </is>
      </c>
      <c r="G615" s="3" t="n">
        <v>125</v>
      </c>
      <c r="H615" s="3" t="n">
        <v>100</v>
      </c>
      <c r="I615" s="3">
        <f>H615-G615</f>
        <v/>
      </c>
      <c r="J615" s="4">
        <f>IF(G615=0,"",(H615-G615)/G615)</f>
        <v/>
      </c>
      <c r="K615" s="4">
        <f>IF(G615=0,"",(H615-G615*0.891738)/(G615*0.891738))</f>
        <v/>
      </c>
      <c r="L615" s="3" t="n">
        <v>-25</v>
      </c>
      <c r="M615" s="3" t="n">
        <v>0</v>
      </c>
      <c r="N615" s="3" t="n">
        <v>0</v>
      </c>
      <c r="O615" s="3" t="n">
        <v>0</v>
      </c>
      <c r="P615" s="3" t="n">
        <v>0</v>
      </c>
      <c r="Q615" s="3">
        <f>SUM(L615:P615)-I615</f>
        <v/>
      </c>
    </row>
    <row r="616">
      <c r="A616" s="2" t="inlineStr">
        <is>
          <t>finnbar-maley</t>
        </is>
      </c>
      <c r="B616" s="2" t="inlineStr">
        <is>
          <t>Finnbar Maley</t>
        </is>
      </c>
      <c r="C616" s="2" t="inlineStr">
        <is>
          <t>Adelaide</t>
        </is>
      </c>
      <c r="D616" s="2" t="inlineStr">
        <is>
          <t>KPF</t>
        </is>
      </c>
      <c r="E616" s="2" t="n">
        <v>23</v>
      </c>
      <c r="F616" s="2" t="inlineStr">
        <is>
          <t>Rookie pick 2</t>
        </is>
      </c>
      <c r="G616" s="3" t="n">
        <v>254</v>
      </c>
      <c r="H616" s="3" t="n">
        <v>165</v>
      </c>
      <c r="I616" s="3">
        <f>H616-G616</f>
        <v/>
      </c>
      <c r="J616" s="4">
        <f>IF(G616=0,"",(H616-G616)/G616)</f>
        <v/>
      </c>
      <c r="K616" s="4">
        <f>IF(G616=0,"",(H616-G616*0.891738)/(G616*0.891738))</f>
        <v/>
      </c>
      <c r="L616" s="3" t="n">
        <v>-69</v>
      </c>
      <c r="M616" s="3" t="n">
        <v>0</v>
      </c>
      <c r="N616" s="3" t="n">
        <v>-20</v>
      </c>
      <c r="O616" s="3" t="n">
        <v>0</v>
      </c>
      <c r="P616" s="3" t="n">
        <v>0</v>
      </c>
      <c r="Q616" s="3">
        <f>SUM(L616:P616)-I616</f>
        <v/>
      </c>
    </row>
    <row r="617">
      <c r="A617" s="2" t="inlineStr">
        <is>
          <t>dante-visentini</t>
        </is>
      </c>
      <c r="B617" s="2" t="inlineStr">
        <is>
          <t>Dante Visentini</t>
        </is>
      </c>
      <c r="C617" s="2" t="inlineStr">
        <is>
          <t>Port Adelaide</t>
        </is>
      </c>
      <c r="D617" s="2" t="inlineStr">
        <is>
          <t>RUCK</t>
        </is>
      </c>
      <c r="E617" s="2" t="n">
        <v>23</v>
      </c>
      <c r="F617" s="2" t="inlineStr">
        <is>
          <t>National pick 56</t>
        </is>
      </c>
      <c r="G617" s="3" t="n">
        <v>1262</v>
      </c>
      <c r="H617" s="3" t="n">
        <v>1045</v>
      </c>
      <c r="I617" s="3">
        <f>H617-G617</f>
        <v/>
      </c>
      <c r="J617" s="4">
        <f>IF(G617=0,"",(H617-G617)/G617)</f>
        <v/>
      </c>
      <c r="K617" s="4">
        <f>IF(G617=0,"",(H617-G617*0.891738)/(G617*0.891738))</f>
        <v/>
      </c>
      <c r="L617" s="3" t="n">
        <v>-89</v>
      </c>
      <c r="M617" s="3" t="n">
        <v>0</v>
      </c>
      <c r="N617" s="3" t="n">
        <v>-128</v>
      </c>
      <c r="O617" s="3" t="n">
        <v>0</v>
      </c>
      <c r="P617" s="3" t="n">
        <v>0</v>
      </c>
      <c r="Q617" s="3">
        <f>SUM(L617:P617)-I617</f>
        <v/>
      </c>
    </row>
    <row r="618">
      <c r="A618" s="2" t="inlineStr">
        <is>
          <t>brayden-cook</t>
        </is>
      </c>
      <c r="B618" s="2" t="inlineStr">
        <is>
          <t>Brayden Cook</t>
        </is>
      </c>
      <c r="C618" s="2" t="inlineStr">
        <is>
          <t>Adelaide</t>
        </is>
      </c>
      <c r="D618" s="2" t="inlineStr">
        <is>
          <t>MID</t>
        </is>
      </c>
      <c r="E618" s="2" t="n">
        <v>24</v>
      </c>
      <c r="F618" s="2" t="inlineStr">
        <is>
          <t>National pick 26</t>
        </is>
      </c>
      <c r="G618" s="3" t="n">
        <v>766</v>
      </c>
      <c r="H618" s="3" t="n">
        <v>673</v>
      </c>
      <c r="I618" s="3">
        <f>H618-G618</f>
        <v/>
      </c>
      <c r="J618" s="4">
        <f>IF(G618=0,"",(H618-G618)/G618)</f>
        <v/>
      </c>
      <c r="K618" s="4">
        <f>IF(G618=0,"",(H618-G618*0.891738)/(G618*0.891738))</f>
        <v/>
      </c>
      <c r="L618" s="3" t="n">
        <v>-12</v>
      </c>
      <c r="M618" s="3" t="n">
        <v>0</v>
      </c>
      <c r="N618" s="3" t="n">
        <v>-81</v>
      </c>
      <c r="O618" s="3" t="n">
        <v>0</v>
      </c>
      <c r="P618" s="3" t="n">
        <v>0</v>
      </c>
      <c r="Q618" s="3">
        <f>SUM(L618:P618)-I618</f>
        <v/>
      </c>
    </row>
    <row r="619">
      <c r="A619" s="2" t="inlineStr">
        <is>
          <t>oliver-wiltshire</t>
        </is>
      </c>
      <c r="B619" s="2" t="inlineStr">
        <is>
          <t>Oliver Wiltshire</t>
        </is>
      </c>
      <c r="C619" s="2" t="inlineStr">
        <is>
          <t>Geelong</t>
        </is>
      </c>
      <c r="D619" s="2" t="inlineStr">
        <is>
          <t>SF</t>
        </is>
      </c>
      <c r="E619" s="2" t="n">
        <v>24</v>
      </c>
      <c r="F619" s="2" t="inlineStr">
        <is>
          <t>National pick 61</t>
        </is>
      </c>
      <c r="G619" s="3" t="n">
        <v>49</v>
      </c>
      <c r="H619" s="3" t="n">
        <v>45</v>
      </c>
      <c r="I619" s="3">
        <f>H619-G619</f>
        <v/>
      </c>
      <c r="J619" s="4">
        <f>IF(G619=0,"",(H619-G619)/G619)</f>
        <v/>
      </c>
      <c r="K619" s="4">
        <f>IF(G619=0,"",(H619-G619*0.891738)/(G619*0.891738))</f>
        <v/>
      </c>
      <c r="L619" s="3" t="n">
        <v>0</v>
      </c>
      <c r="M619" s="3" t="n">
        <v>0</v>
      </c>
      <c r="N619" s="3" t="n">
        <v>-4</v>
      </c>
      <c r="O619" s="3" t="n">
        <v>0</v>
      </c>
      <c r="P619" s="3" t="n">
        <v>0</v>
      </c>
      <c r="Q619" s="3">
        <f>SUM(L619:P619)-I619</f>
        <v/>
      </c>
    </row>
    <row r="620">
      <c r="A620" s="2" t="inlineStr">
        <is>
          <t>judd-mcvee</t>
        </is>
      </c>
      <c r="B620" s="2" t="inlineStr">
        <is>
          <t>Judd McVee</t>
        </is>
      </c>
      <c r="C620" s="2" t="inlineStr">
        <is>
          <t>Fremantle</t>
        </is>
      </c>
      <c r="D620" s="2" t="inlineStr">
        <is>
          <t>SD</t>
        </is>
      </c>
      <c r="E620" s="2" t="n">
        <v>23</v>
      </c>
      <c r="F620" s="2" t="inlineStr">
        <is>
          <t>Rookie pick 9</t>
        </is>
      </c>
      <c r="G620" s="3" t="n">
        <v>309</v>
      </c>
      <c r="H620" s="3" t="n">
        <v>268</v>
      </c>
      <c r="I620" s="3">
        <f>H620-G620</f>
        <v/>
      </c>
      <c r="J620" s="4">
        <f>IF(G620=0,"",(H620-G620)/G620)</f>
        <v/>
      </c>
      <c r="K620" s="4">
        <f>IF(G620=0,"",(H620-G620*0.891738)/(G620*0.891738))</f>
        <v/>
      </c>
      <c r="L620" s="3" t="n">
        <v>-9</v>
      </c>
      <c r="M620" s="3" t="n">
        <v>0</v>
      </c>
      <c r="N620" s="3" t="n">
        <v>-32</v>
      </c>
      <c r="O620" s="3" t="n">
        <v>0</v>
      </c>
      <c r="P620" s="3" t="n">
        <v>0</v>
      </c>
      <c r="Q620" s="3">
        <f>SUM(L620:P620)-I620</f>
        <v/>
      </c>
    </row>
    <row r="621">
      <c r="A621" s="2" t="inlineStr">
        <is>
          <t>charlie-cameron</t>
        </is>
      </c>
      <c r="B621" s="2" t="inlineStr">
        <is>
          <t>Charlie Cameron</t>
        </is>
      </c>
      <c r="C621" s="2" t="inlineStr">
        <is>
          <t>Brisbane</t>
        </is>
      </c>
      <c r="D621" s="2" t="inlineStr">
        <is>
          <t>SF</t>
        </is>
      </c>
      <c r="E621" s="2" t="n">
        <v>32</v>
      </c>
      <c r="F621" s="2" t="inlineStr">
        <is>
          <t>Rookie pick 6</t>
        </is>
      </c>
      <c r="G621" s="3" t="n">
        <v>164</v>
      </c>
      <c r="H621" s="3" t="n">
        <v>144</v>
      </c>
      <c r="I621" s="3">
        <f>H621-G621</f>
        <v/>
      </c>
      <c r="J621" s="4">
        <f>IF(G621=0,"",(H621-G621)/G621)</f>
        <v/>
      </c>
      <c r="K621" s="4">
        <f>IF(G621=0,"",(H621-G621*0.891738)/(G621*0.891738))</f>
        <v/>
      </c>
      <c r="L621" s="3" t="n">
        <v>-2</v>
      </c>
      <c r="M621" s="3" t="n">
        <v>0</v>
      </c>
      <c r="N621" s="3" t="n">
        <v>-18</v>
      </c>
      <c r="O621" s="3" t="n">
        <v>0</v>
      </c>
      <c r="P621" s="3" t="n">
        <v>0</v>
      </c>
      <c r="Q621" s="3">
        <f>SUM(L621:P621)-I621</f>
        <v/>
      </c>
    </row>
    <row r="622">
      <c r="A622" s="2" t="inlineStr">
        <is>
          <t>jack-henry</t>
        </is>
      </c>
      <c r="B622" s="2" t="inlineStr">
        <is>
          <t>Jack Henry</t>
        </is>
      </c>
      <c r="C622" s="2" t="inlineStr">
        <is>
          <t>Geelong</t>
        </is>
      </c>
      <c r="D622" s="2" t="inlineStr">
        <is>
          <t>KPD</t>
        </is>
      </c>
      <c r="E622" s="2" t="n">
        <v>28</v>
      </c>
      <c r="F622" s="2" t="inlineStr">
        <is>
          <t>Rookie pick 12</t>
        </is>
      </c>
      <c r="G622" s="3" t="n">
        <v>193</v>
      </c>
      <c r="H622" s="3" t="n">
        <v>169</v>
      </c>
      <c r="I622" s="3">
        <f>H622-G622</f>
        <v/>
      </c>
      <c r="J622" s="4">
        <f>IF(G622=0,"",(H622-G622)/G622)</f>
        <v/>
      </c>
      <c r="K622" s="4">
        <f>IF(G622=0,"",(H622-G622*0.891738)/(G622*0.891738))</f>
        <v/>
      </c>
      <c r="L622" s="3" t="n">
        <v>-3</v>
      </c>
      <c r="M622" s="3" t="n">
        <v>0</v>
      </c>
      <c r="N622" s="3" t="n">
        <v>-21</v>
      </c>
      <c r="O622" s="3" t="n">
        <v>0</v>
      </c>
      <c r="P622" s="3" t="n">
        <v>0</v>
      </c>
      <c r="Q622" s="3">
        <f>SUM(L622:P622)-I622</f>
        <v/>
      </c>
    </row>
    <row r="623">
      <c r="A623" s="2" t="inlineStr">
        <is>
          <t>toby-murray</t>
        </is>
      </c>
      <c r="B623" s="2" t="inlineStr">
        <is>
          <t>Toby Murray</t>
        </is>
      </c>
      <c r="C623" s="2" t="inlineStr">
        <is>
          <t>Adelaide</t>
        </is>
      </c>
      <c r="D623" s="2" t="inlineStr">
        <is>
          <t>KPF</t>
        </is>
      </c>
      <c r="E623" s="2" t="n">
        <v>23</v>
      </c>
      <c r="F623" s="2" t="inlineStr">
        <is>
          <t>Mid-Season pick 7</t>
        </is>
      </c>
      <c r="G623" s="3" t="n">
        <v>219</v>
      </c>
      <c r="H623" s="3" t="n">
        <v>169</v>
      </c>
      <c r="I623" s="3">
        <f>H623-G623</f>
        <v/>
      </c>
      <c r="J623" s="4">
        <f>IF(G623=0,"",(H623-G623)/G623)</f>
        <v/>
      </c>
      <c r="K623" s="4">
        <f>IF(G623=0,"",(H623-G623*0.891738)/(G623*0.891738))</f>
        <v/>
      </c>
      <c r="L623" s="3" t="n">
        <v>-29</v>
      </c>
      <c r="M623" s="3" t="n">
        <v>0</v>
      </c>
      <c r="N623" s="3" t="n">
        <v>-21</v>
      </c>
      <c r="O623" s="3" t="n">
        <v>0</v>
      </c>
      <c r="P623" s="3" t="n">
        <v>0</v>
      </c>
      <c r="Q623" s="3">
        <f>SUM(L623:P623)-I623</f>
        <v/>
      </c>
    </row>
    <row r="624">
      <c r="A624" s="2" t="inlineStr">
        <is>
          <t>jack-williams</t>
        </is>
      </c>
      <c r="B624" s="2" t="inlineStr">
        <is>
          <t>Jack Williams</t>
        </is>
      </c>
      <c r="C624" s="2" t="inlineStr">
        <is>
          <t>West Coast</t>
        </is>
      </c>
      <c r="D624" s="2" t="inlineStr">
        <is>
          <t>KPF</t>
        </is>
      </c>
      <c r="E624" s="2" t="n">
        <v>23</v>
      </c>
      <c r="F624" s="2" t="inlineStr">
        <is>
          <t>National pick 57</t>
        </is>
      </c>
      <c r="G624" s="3" t="n">
        <v>398</v>
      </c>
      <c r="H624" s="3" t="n">
        <v>409</v>
      </c>
      <c r="I624" s="3">
        <f>H624-G624</f>
        <v/>
      </c>
      <c r="J624" s="4">
        <f>IF(G624=0,"",(H624-G624)/G624)</f>
        <v/>
      </c>
      <c r="K624" s="4">
        <f>IF(G624=0,"",(H624-G624*0.891738)/(G624*0.891738))</f>
        <v/>
      </c>
      <c r="L624" s="3" t="n">
        <v>59</v>
      </c>
      <c r="M624" s="3" t="n">
        <v>0</v>
      </c>
      <c r="N624" s="3" t="n">
        <v>-48</v>
      </c>
      <c r="O624" s="3" t="n">
        <v>0</v>
      </c>
      <c r="P624" s="3" t="n">
        <v>0</v>
      </c>
      <c r="Q624" s="3">
        <f>SUM(L624:P624)-I624</f>
        <v/>
      </c>
    </row>
    <row r="625">
      <c r="A625" s="2" t="inlineStr">
        <is>
          <t>oliver-henry</t>
        </is>
      </c>
      <c r="B625" s="2" t="inlineStr">
        <is>
          <t>Oliver Henry</t>
        </is>
      </c>
      <c r="C625" s="2" t="inlineStr">
        <is>
          <t>Geelong</t>
        </is>
      </c>
      <c r="D625" s="2" t="inlineStr">
        <is>
          <t>SF</t>
        </is>
      </c>
      <c r="E625" s="2" t="n">
        <v>24</v>
      </c>
      <c r="F625" s="2" t="inlineStr">
        <is>
          <t>National pick 18</t>
        </is>
      </c>
      <c r="G625" s="3" t="n">
        <v>147</v>
      </c>
      <c r="H625" s="3" t="n">
        <v>129</v>
      </c>
      <c r="I625" s="3">
        <f>H625-G625</f>
        <v/>
      </c>
      <c r="J625" s="4">
        <f>IF(G625=0,"",(H625-G625)/G625)</f>
        <v/>
      </c>
      <c r="K625" s="4">
        <f>IF(G625=0,"",(H625-G625*0.891738)/(G625*0.891738))</f>
        <v/>
      </c>
      <c r="L625" s="3" t="n">
        <v>-3</v>
      </c>
      <c r="M625" s="3" t="n">
        <v>0</v>
      </c>
      <c r="N625" s="3" t="n">
        <v>-15</v>
      </c>
      <c r="O625" s="3" t="n">
        <v>0</v>
      </c>
      <c r="P625" s="3" t="n">
        <v>0</v>
      </c>
      <c r="Q625" s="3">
        <f>SUM(L625:P625)-I625</f>
        <v/>
      </c>
    </row>
    <row r="626">
      <c r="A626" s="2" t="inlineStr">
        <is>
          <t>noah-long</t>
        </is>
      </c>
      <c r="B626" s="2" t="inlineStr">
        <is>
          <t>Noah Long</t>
        </is>
      </c>
      <c r="C626" s="2" t="inlineStr">
        <is>
          <t>West Coast</t>
        </is>
      </c>
      <c r="D626" s="2" t="inlineStr">
        <is>
          <t>SF</t>
        </is>
      </c>
      <c r="E626" s="2" t="n">
        <v>22</v>
      </c>
      <c r="F626" s="2" t="inlineStr">
        <is>
          <t>National pick 57</t>
        </is>
      </c>
      <c r="G626" s="3" t="n">
        <v>163</v>
      </c>
      <c r="H626" s="3" t="n">
        <v>131</v>
      </c>
      <c r="I626" s="3">
        <f>H626-G626</f>
        <v/>
      </c>
      <c r="J626" s="4">
        <f>IF(G626=0,"",(H626-G626)/G626)</f>
        <v/>
      </c>
      <c r="K626" s="4">
        <f>IF(G626=0,"",(H626-G626*0.891738)/(G626*0.891738))</f>
        <v/>
      </c>
      <c r="L626" s="3" t="n">
        <v>-16</v>
      </c>
      <c r="M626" s="3" t="n">
        <v>0</v>
      </c>
      <c r="N626" s="3" t="n">
        <v>-16</v>
      </c>
      <c r="O626" s="3" t="n">
        <v>0</v>
      </c>
      <c r="P626" s="3" t="n">
        <v>0</v>
      </c>
      <c r="Q626" s="3">
        <f>SUM(L626:P626)-I626</f>
        <v/>
      </c>
    </row>
    <row r="627">
      <c r="A627" s="2" t="inlineStr">
        <is>
          <t>james-tunstill</t>
        </is>
      </c>
      <c r="B627" s="2" t="inlineStr">
        <is>
          <t>James Tunstill</t>
        </is>
      </c>
      <c r="C627" s="2" t="inlineStr">
        <is>
          <t>Brisbane</t>
        </is>
      </c>
      <c r="D627" s="2" t="inlineStr">
        <is>
          <t>MID</t>
        </is>
      </c>
      <c r="E627" s="2" t="n">
        <v>23</v>
      </c>
      <c r="F627" s="2" t="inlineStr">
        <is>
          <t>National pick 41</t>
        </is>
      </c>
      <c r="G627" s="3" t="n">
        <v>82</v>
      </c>
      <c r="H627" s="3" t="n">
        <v>75</v>
      </c>
      <c r="I627" s="3">
        <f>H627-G627</f>
        <v/>
      </c>
      <c r="J627" s="4">
        <f>IF(G627=0,"",(H627-G627)/G627)</f>
        <v/>
      </c>
      <c r="K627" s="4">
        <f>IF(G627=0,"",(H627-G627*0.891738)/(G627*0.891738))</f>
        <v/>
      </c>
      <c r="L627" s="3" t="n">
        <v>0</v>
      </c>
      <c r="M627" s="3" t="n">
        <v>0</v>
      </c>
      <c r="N627" s="3" t="n">
        <v>-7</v>
      </c>
      <c r="O627" s="3" t="n">
        <v>0</v>
      </c>
      <c r="P627" s="3" t="n">
        <v>0</v>
      </c>
      <c r="Q627" s="3">
        <f>SUM(L627:P627)-I627</f>
        <v/>
      </c>
    </row>
    <row r="628">
      <c r="A628" s="2" t="inlineStr">
        <is>
          <t>jesse-hogan</t>
        </is>
      </c>
      <c r="B628" s="2" t="inlineStr">
        <is>
          <t>Jesse Hogan</t>
        </is>
      </c>
      <c r="C628" s="2" t="inlineStr">
        <is>
          <t>GWS</t>
        </is>
      </c>
      <c r="D628" s="2" t="inlineStr">
        <is>
          <t>KPF</t>
        </is>
      </c>
      <c r="E628" s="2" t="n">
        <v>32</v>
      </c>
      <c r="F628" s="2" t="inlineStr">
        <is>
          <t>National pick 5</t>
        </is>
      </c>
      <c r="G628" s="3" t="n">
        <v>218</v>
      </c>
      <c r="H628" s="3" t="n">
        <v>184</v>
      </c>
      <c r="I628" s="3">
        <f>H628-G628</f>
        <v/>
      </c>
      <c r="J628" s="4">
        <f>IF(G628=0,"",(H628-G628)/G628)</f>
        <v/>
      </c>
      <c r="K628" s="4">
        <f>IF(G628=0,"",(H628-G628*0.891738)/(G628*0.891738))</f>
        <v/>
      </c>
      <c r="L628" s="3" t="n">
        <v>-4</v>
      </c>
      <c r="M628" s="3" t="n">
        <v>-8</v>
      </c>
      <c r="N628" s="3" t="n">
        <v>-22</v>
      </c>
      <c r="O628" s="3" t="n">
        <v>0</v>
      </c>
      <c r="P628" s="3" t="n">
        <v>0</v>
      </c>
      <c r="Q628" s="3">
        <f>SUM(L628:P628)-I628</f>
        <v/>
      </c>
    </row>
    <row r="629">
      <c r="A629" s="2" t="inlineStr">
        <is>
          <t>josh-draper</t>
        </is>
      </c>
      <c r="B629" s="2" t="inlineStr">
        <is>
          <t>Josh Draper</t>
        </is>
      </c>
      <c r="C629" s="2" t="inlineStr">
        <is>
          <t>Fremantle</t>
        </is>
      </c>
      <c r="D629" s="2" t="inlineStr">
        <is>
          <t>KPD</t>
        </is>
      </c>
      <c r="E629" s="2" t="n">
        <v>22</v>
      </c>
      <c r="F629" s="2" t="inlineStr">
        <is>
          <t>Post-Draft - Next Gen (pool)</t>
        </is>
      </c>
      <c r="G629" s="3" t="n">
        <v>460</v>
      </c>
      <c r="H629" s="3" t="n">
        <v>373</v>
      </c>
      <c r="I629" s="3">
        <f>H629-G629</f>
        <v/>
      </c>
      <c r="J629" s="4">
        <f>IF(G629=0,"",(H629-G629)/G629)</f>
        <v/>
      </c>
      <c r="K629" s="4">
        <f>IF(G629=0,"",(H629-G629*0.891738)/(G629*0.891738))</f>
        <v/>
      </c>
      <c r="L629" s="3" t="n">
        <v>-42</v>
      </c>
      <c r="M629" s="3" t="n">
        <v>0</v>
      </c>
      <c r="N629" s="3" t="n">
        <v>-45</v>
      </c>
      <c r="O629" s="3" t="n">
        <v>0</v>
      </c>
      <c r="P629" s="3" t="n">
        <v>0</v>
      </c>
      <c r="Q629" s="3">
        <f>SUM(L629:P629)-I629</f>
        <v/>
      </c>
    </row>
    <row r="630">
      <c r="A630" s="2" t="inlineStr">
        <is>
          <t>bayley-fritsch</t>
        </is>
      </c>
      <c r="B630" s="2" t="inlineStr">
        <is>
          <t>Bayley Fritsch</t>
        </is>
      </c>
      <c r="C630" s="2" t="inlineStr">
        <is>
          <t>Melbourne</t>
        </is>
      </c>
      <c r="D630" s="2" t="inlineStr">
        <is>
          <t>SF</t>
        </is>
      </c>
      <c r="E630" s="2" t="n">
        <v>30</v>
      </c>
      <c r="F630" s="2" t="inlineStr">
        <is>
          <t>National pick 31</t>
        </is>
      </c>
      <c r="G630" s="3" t="n">
        <v>156</v>
      </c>
      <c r="H630" s="3" t="n">
        <v>137</v>
      </c>
      <c r="I630" s="3">
        <f>H630-G630</f>
        <v/>
      </c>
      <c r="J630" s="4">
        <f>IF(G630=0,"",(H630-G630)/G630)</f>
        <v/>
      </c>
      <c r="K630" s="4">
        <f>IF(G630=0,"",(H630-G630*0.891738)/(G630*0.891738))</f>
        <v/>
      </c>
      <c r="L630" s="3" t="n">
        <v>-2</v>
      </c>
      <c r="M630" s="3" t="n">
        <v>0</v>
      </c>
      <c r="N630" s="3" t="n">
        <v>-17</v>
      </c>
      <c r="O630" s="3" t="n">
        <v>0</v>
      </c>
      <c r="P630" s="3" t="n">
        <v>0</v>
      </c>
      <c r="Q630" s="3">
        <f>SUM(L630:P630)-I630</f>
        <v/>
      </c>
    </row>
    <row r="631">
      <c r="A631" s="2" t="inlineStr">
        <is>
          <t>oscar-steene</t>
        </is>
      </c>
      <c r="B631" s="2" t="inlineStr">
        <is>
          <t>Oscar Steene</t>
        </is>
      </c>
      <c r="C631" s="2" t="inlineStr">
        <is>
          <t>Collingwood</t>
        </is>
      </c>
      <c r="D631" s="2" t="inlineStr">
        <is>
          <t>RUCK</t>
        </is>
      </c>
      <c r="E631" s="2" t="n">
        <v>23</v>
      </c>
      <c r="F631" s="2" t="inlineStr">
        <is>
          <t>SSP (pool)</t>
        </is>
      </c>
      <c r="G631" s="3" t="n">
        <v>492</v>
      </c>
      <c r="H631" s="3" t="n">
        <v>396</v>
      </c>
      <c r="I631" s="3">
        <f>H631-G631</f>
        <v/>
      </c>
      <c r="J631" s="4">
        <f>IF(G631=0,"",(H631-G631)/G631)</f>
        <v/>
      </c>
      <c r="K631" s="4">
        <f>IF(G631=0,"",(H631-G631*0.891738)/(G631*0.891738))</f>
        <v/>
      </c>
      <c r="L631" s="3" t="n">
        <v>-47</v>
      </c>
      <c r="M631" s="3" t="n">
        <v>0</v>
      </c>
      <c r="N631" s="3" t="n">
        <v>-49</v>
      </c>
      <c r="O631" s="3" t="n">
        <v>0</v>
      </c>
      <c r="P631" s="3" t="n">
        <v>0</v>
      </c>
      <c r="Q631" s="3">
        <f>SUM(L631:P631)-I631</f>
        <v/>
      </c>
    </row>
    <row r="632">
      <c r="A632" s="2" t="inlineStr">
        <is>
          <t>nathan-o-driscoll</t>
        </is>
      </c>
      <c r="B632" s="2" t="inlineStr">
        <is>
          <t>Nathan O'Driscoll</t>
        </is>
      </c>
      <c r="C632" s="2" t="inlineStr">
        <is>
          <t>Fremantle</t>
        </is>
      </c>
      <c r="D632" s="2" t="inlineStr">
        <is>
          <t>MID</t>
        </is>
      </c>
      <c r="E632" s="2" t="n">
        <v>24</v>
      </c>
      <c r="F632" s="2" t="inlineStr">
        <is>
          <t>National pick 28</t>
        </is>
      </c>
      <c r="G632" s="3" t="n">
        <v>622</v>
      </c>
      <c r="H632" s="3" t="n">
        <v>512</v>
      </c>
      <c r="I632" s="3">
        <f>H632-G632</f>
        <v/>
      </c>
      <c r="J632" s="4">
        <f>IF(G632=0,"",(H632-G632)/G632)</f>
        <v/>
      </c>
      <c r="K632" s="4">
        <f>IF(G632=0,"",(H632-G632*0.891738)/(G632*0.891738))</f>
        <v/>
      </c>
      <c r="L632" s="3" t="n">
        <v>-47</v>
      </c>
      <c r="M632" s="3" t="n">
        <v>0</v>
      </c>
      <c r="N632" s="3" t="n">
        <v>-63</v>
      </c>
      <c r="O632" s="3" t="n">
        <v>0</v>
      </c>
      <c r="P632" s="3" t="n">
        <v>0</v>
      </c>
      <c r="Q632" s="3">
        <f>SUM(L632:P632)-I632</f>
        <v/>
      </c>
    </row>
    <row r="633">
      <c r="A633" s="2" t="inlineStr">
        <is>
          <t>hudson-o-keeffe</t>
        </is>
      </c>
      <c r="B633" s="2" t="inlineStr">
        <is>
          <t>Hudson O'Keeffe</t>
        </is>
      </c>
      <c r="C633" s="2" t="inlineStr">
        <is>
          <t>Carlton</t>
        </is>
      </c>
      <c r="D633" s="2" t="inlineStr">
        <is>
          <t>KPF</t>
        </is>
      </c>
      <c r="E633" s="2" t="n">
        <v>22</v>
      </c>
      <c r="F633" s="2" t="inlineStr">
        <is>
          <t>SSP (pool)</t>
        </is>
      </c>
      <c r="G633" s="3" t="n">
        <v>229</v>
      </c>
      <c r="H633" s="3" t="n">
        <v>109</v>
      </c>
      <c r="I633" s="3">
        <f>H633-G633</f>
        <v/>
      </c>
      <c r="J633" s="4">
        <f>IF(G633=0,"",(H633-G633)/G633)</f>
        <v/>
      </c>
      <c r="K633" s="4">
        <f>IF(G633=0,"",(H633-G633*0.891738)/(G633*0.891738))</f>
        <v/>
      </c>
      <c r="L633" s="3" t="n">
        <v>-59</v>
      </c>
      <c r="M633" s="3" t="n">
        <v>0</v>
      </c>
      <c r="N633" s="3" t="n">
        <v>-15</v>
      </c>
      <c r="O633" s="3" t="n">
        <v>-18</v>
      </c>
      <c r="P633" s="3" t="n">
        <v>-28</v>
      </c>
      <c r="Q633" s="3">
        <f>SUM(L633:P633)-I633</f>
        <v/>
      </c>
    </row>
    <row r="634">
      <c r="A634" s="2" t="inlineStr">
        <is>
          <t>will-edwards</t>
        </is>
      </c>
      <c r="B634" s="2" t="inlineStr">
        <is>
          <t>Will Edwards</t>
        </is>
      </c>
      <c r="C634" s="2" t="inlineStr">
        <is>
          <t>Sydney</t>
        </is>
      </c>
      <c r="D634" s="2" t="inlineStr">
        <is>
          <t>KPD</t>
        </is>
      </c>
      <c r="E634" s="2" t="n">
        <v>23</v>
      </c>
      <c r="F634" s="2" t="inlineStr">
        <is>
          <t>Post-Draft - Academy (pool)</t>
        </is>
      </c>
      <c r="G634" s="3" t="n">
        <v>208</v>
      </c>
      <c r="H634" s="3" t="n">
        <v>139</v>
      </c>
      <c r="I634" s="3">
        <f>H634-G634</f>
        <v/>
      </c>
      <c r="J634" s="4">
        <f>IF(G634=0,"",(H634-G634)/G634)</f>
        <v/>
      </c>
      <c r="K634" s="4">
        <f>IF(G634=0,"",(H634-G634*0.891738)/(G634*0.891738))</f>
        <v/>
      </c>
      <c r="L634" s="3" t="n">
        <v>-52</v>
      </c>
      <c r="M634" s="3" t="n">
        <v>0</v>
      </c>
      <c r="N634" s="3" t="n">
        <v>-17</v>
      </c>
      <c r="O634" s="3" t="n">
        <v>0</v>
      </c>
      <c r="P634" s="3" t="n">
        <v>0</v>
      </c>
      <c r="Q634" s="3">
        <f>SUM(L634:P634)-I634</f>
        <v/>
      </c>
    </row>
    <row r="635">
      <c r="A635" s="2" t="inlineStr">
        <is>
          <t>conor-nash</t>
        </is>
      </c>
      <c r="B635" s="2" t="inlineStr">
        <is>
          <t>Conor Nash</t>
        </is>
      </c>
      <c r="C635" s="2" t="inlineStr">
        <is>
          <t>Hawthorn</t>
        </is>
      </c>
      <c r="D635" s="2" t="inlineStr">
        <is>
          <t>MID</t>
        </is>
      </c>
      <c r="E635" s="2" t="n">
        <v>28</v>
      </c>
      <c r="F635" s="2" t="inlineStr">
        <is>
          <t>Post-Draft - Ireland (pool)</t>
        </is>
      </c>
      <c r="G635" s="3" t="n">
        <v>239</v>
      </c>
      <c r="H635" s="3" t="n">
        <v>210</v>
      </c>
      <c r="I635" s="3">
        <f>H635-G635</f>
        <v/>
      </c>
      <c r="J635" s="4">
        <f>IF(G635=0,"",(H635-G635)/G635)</f>
        <v/>
      </c>
      <c r="K635" s="4">
        <f>IF(G635=0,"",(H635-G635*0.891738)/(G635*0.891738))</f>
        <v/>
      </c>
      <c r="L635" s="3" t="n">
        <v>-3</v>
      </c>
      <c r="M635" s="3" t="n">
        <v>0</v>
      </c>
      <c r="N635" s="3" t="n">
        <v>-26</v>
      </c>
      <c r="O635" s="3" t="n">
        <v>0</v>
      </c>
      <c r="P635" s="3" t="n">
        <v>0</v>
      </c>
      <c r="Q635" s="3">
        <f>SUM(L635:P635)-I635</f>
        <v/>
      </c>
    </row>
    <row r="636">
      <c r="A636" s="2" t="inlineStr">
        <is>
          <t>shadeau-brain</t>
        </is>
      </c>
      <c r="B636" s="2" t="inlineStr">
        <is>
          <t>Shadeau Brain</t>
        </is>
      </c>
      <c r="C636" s="2" t="inlineStr">
        <is>
          <t>Brisbane</t>
        </is>
      </c>
      <c r="D636" s="2" t="inlineStr">
        <is>
          <t>SD</t>
        </is>
      </c>
      <c r="E636" s="2" t="n">
        <v>22</v>
      </c>
      <c r="F636" s="2" t="inlineStr">
        <is>
          <t>Post-Draft - Academy (pool)</t>
        </is>
      </c>
      <c r="G636" s="3" t="n">
        <v>86</v>
      </c>
      <c r="H636" s="3" t="n">
        <v>51</v>
      </c>
      <c r="I636" s="3">
        <f>H636-G636</f>
        <v/>
      </c>
      <c r="J636" s="4">
        <f>IF(G636=0,"",(H636-G636)/G636)</f>
        <v/>
      </c>
      <c r="K636" s="4">
        <f>IF(G636=0,"",(H636-G636*0.891738)/(G636*0.891738))</f>
        <v/>
      </c>
      <c r="L636" s="3" t="n">
        <v>-29</v>
      </c>
      <c r="M636" s="3" t="n">
        <v>0</v>
      </c>
      <c r="N636" s="3" t="n">
        <v>-6</v>
      </c>
      <c r="O636" s="3" t="n">
        <v>0</v>
      </c>
      <c r="P636" s="3" t="n">
        <v>0</v>
      </c>
      <c r="Q636" s="3">
        <f>SUM(L636:P636)-I636</f>
        <v/>
      </c>
    </row>
    <row r="637">
      <c r="A637" s="2" t="inlineStr">
        <is>
          <t>lachlan-jones</t>
        </is>
      </c>
      <c r="B637" s="2" t="inlineStr">
        <is>
          <t>Lachlan Jones</t>
        </is>
      </c>
      <c r="C637" s="2" t="inlineStr">
        <is>
          <t>Port Adelaide</t>
        </is>
      </c>
      <c r="D637" s="2" t="inlineStr">
        <is>
          <t>SD</t>
        </is>
      </c>
      <c r="E637" s="2" t="n">
        <v>24</v>
      </c>
      <c r="F637" s="2" t="inlineStr">
        <is>
          <t>National pick 16</t>
        </is>
      </c>
      <c r="G637" s="3" t="n">
        <v>123</v>
      </c>
      <c r="H637" s="3" t="n">
        <v>106</v>
      </c>
      <c r="I637" s="3">
        <f>H637-G637</f>
        <v/>
      </c>
      <c r="J637" s="4">
        <f>IF(G637=0,"",(H637-G637)/G637)</f>
        <v/>
      </c>
      <c r="K637" s="4">
        <f>IF(G637=0,"",(H637-G637*0.891738)/(G637*0.891738))</f>
        <v/>
      </c>
      <c r="L637" s="3" t="n">
        <v>-3</v>
      </c>
      <c r="M637" s="3" t="n">
        <v>0</v>
      </c>
      <c r="N637" s="3" t="n">
        <v>-14</v>
      </c>
      <c r="O637" s="3" t="n">
        <v>0</v>
      </c>
      <c r="P637" s="3" t="n">
        <v>0</v>
      </c>
      <c r="Q637" s="3">
        <f>SUM(L637:P637)-I637</f>
        <v/>
      </c>
    </row>
    <row r="638">
      <c r="A638" s="2" t="inlineStr">
        <is>
          <t>jarrod-berry</t>
        </is>
      </c>
      <c r="B638" s="2" t="inlineStr">
        <is>
          <t>Jarrod Berry</t>
        </is>
      </c>
      <c r="C638" s="2" t="inlineStr">
        <is>
          <t>Brisbane</t>
        </is>
      </c>
      <c r="D638" s="2" t="inlineStr">
        <is>
          <t>MID</t>
        </is>
      </c>
      <c r="E638" s="2" t="n">
        <v>28</v>
      </c>
      <c r="F638" s="2" t="inlineStr">
        <is>
          <t>National pick 17</t>
        </is>
      </c>
      <c r="G638" s="3" t="n">
        <v>196</v>
      </c>
      <c r="H638" s="3" t="n">
        <v>173</v>
      </c>
      <c r="I638" s="3">
        <f>H638-G638</f>
        <v/>
      </c>
      <c r="J638" s="4">
        <f>IF(G638=0,"",(H638-G638)/G638)</f>
        <v/>
      </c>
      <c r="K638" s="4">
        <f>IF(G638=0,"",(H638-G638*0.891738)/(G638*0.891738))</f>
        <v/>
      </c>
      <c r="L638" s="3" t="n">
        <v>-2</v>
      </c>
      <c r="M638" s="3" t="n">
        <v>0</v>
      </c>
      <c r="N638" s="3" t="n">
        <v>-21</v>
      </c>
      <c r="O638" s="3" t="n">
        <v>0</v>
      </c>
      <c r="P638" s="3" t="n">
        <v>0</v>
      </c>
      <c r="Q638" s="3">
        <f>SUM(L638:P638)-I638</f>
        <v/>
      </c>
    </row>
    <row r="639">
      <c r="A639" s="2" t="inlineStr">
        <is>
          <t>ben-ainsworth</t>
        </is>
      </c>
      <c r="B639" s="2" t="inlineStr">
        <is>
          <t>Ben Ainsworth</t>
        </is>
      </c>
      <c r="C639" s="2" t="inlineStr">
        <is>
          <t>Carlton</t>
        </is>
      </c>
      <c r="D639" s="2" t="inlineStr">
        <is>
          <t>SF</t>
        </is>
      </c>
      <c r="E639" s="2" t="n">
        <v>28</v>
      </c>
      <c r="F639" s="2" t="inlineStr">
        <is>
          <t>National pick 4</t>
        </is>
      </c>
      <c r="G639" s="3" t="n">
        <v>197</v>
      </c>
      <c r="H639" s="3" t="n">
        <v>174</v>
      </c>
      <c r="I639" s="3">
        <f>H639-G639</f>
        <v/>
      </c>
      <c r="J639" s="4">
        <f>IF(G639=0,"",(H639-G639)/G639)</f>
        <v/>
      </c>
      <c r="K639" s="4">
        <f>IF(G639=0,"",(H639-G639*0.891738)/(G639*0.891738))</f>
        <v/>
      </c>
      <c r="L639" s="3" t="n">
        <v>-3</v>
      </c>
      <c r="M639" s="3" t="n">
        <v>0</v>
      </c>
      <c r="N639" s="3" t="n">
        <v>-20</v>
      </c>
      <c r="O639" s="3" t="n">
        <v>0</v>
      </c>
      <c r="P639" s="3" t="n">
        <v>0</v>
      </c>
      <c r="Q639" s="3">
        <f>SUM(L639:P639)-I639</f>
        <v/>
      </c>
    </row>
    <row r="640">
      <c r="A640" s="2" t="inlineStr">
        <is>
          <t>luke-pedlar</t>
        </is>
      </c>
      <c r="B640" s="2" t="inlineStr">
        <is>
          <t>Luke Pedlar</t>
        </is>
      </c>
      <c r="C640" s="2" t="inlineStr">
        <is>
          <t>Adelaide</t>
        </is>
      </c>
      <c r="D640" s="2" t="inlineStr">
        <is>
          <t>SF</t>
        </is>
      </c>
      <c r="E640" s="2" t="n">
        <v>24</v>
      </c>
      <c r="F640" s="2" t="inlineStr">
        <is>
          <t>National pick 11</t>
        </is>
      </c>
      <c r="G640" s="3" t="n">
        <v>112</v>
      </c>
      <c r="H640" s="3" t="n">
        <v>108</v>
      </c>
      <c r="I640" s="3">
        <f>H640-G640</f>
        <v/>
      </c>
      <c r="J640" s="4">
        <f>IF(G640=0,"",(H640-G640)/G640)</f>
        <v/>
      </c>
      <c r="K640" s="4">
        <f>IF(G640=0,"",(H640-G640*0.891738)/(G640*0.891738))</f>
        <v/>
      </c>
      <c r="L640" s="3" t="n">
        <v>0</v>
      </c>
      <c r="M640" s="3" t="n">
        <v>0</v>
      </c>
      <c r="N640" s="3" t="n">
        <v>-4</v>
      </c>
      <c r="O640" s="3" t="n">
        <v>0</v>
      </c>
      <c r="P640" s="3" t="n">
        <v>0</v>
      </c>
      <c r="Q640" s="3">
        <f>SUM(L640:P640)-I640</f>
        <v/>
      </c>
    </row>
    <row r="641">
      <c r="A641" s="2" t="inlineStr">
        <is>
          <t>jack-darling</t>
        </is>
      </c>
      <c r="B641" s="2" t="inlineStr">
        <is>
          <t>Jack Darling</t>
        </is>
      </c>
      <c r="C641" s="2" t="inlineStr">
        <is>
          <t>North Melbourne</t>
        </is>
      </c>
      <c r="D641" s="2" t="inlineStr">
        <is>
          <t>KPF</t>
        </is>
      </c>
      <c r="E641" s="2" t="n">
        <v>34</v>
      </c>
      <c r="F641" s="2" t="inlineStr">
        <is>
          <t>National pick 28</t>
        </is>
      </c>
      <c r="G641" s="3" t="n">
        <v>138</v>
      </c>
      <c r="H641" s="3" t="n">
        <v>121</v>
      </c>
      <c r="I641" s="3">
        <f>H641-G641</f>
        <v/>
      </c>
      <c r="J641" s="4">
        <f>IF(G641=0,"",(H641-G641)/G641)</f>
        <v/>
      </c>
      <c r="K641" s="4">
        <f>IF(G641=0,"",(H641-G641*0.891738)/(G641*0.891738))</f>
        <v/>
      </c>
      <c r="L641" s="3" t="n">
        <v>-2</v>
      </c>
      <c r="M641" s="3" t="n">
        <v>0</v>
      </c>
      <c r="N641" s="3" t="n">
        <v>-15</v>
      </c>
      <c r="O641" s="3" t="n">
        <v>0</v>
      </c>
      <c r="P641" s="3" t="n">
        <v>0</v>
      </c>
      <c r="Q641" s="3">
        <f>SUM(L641:P641)-I641</f>
        <v/>
      </c>
    </row>
    <row r="642">
      <c r="A642" s="2" t="inlineStr">
        <is>
          <t>nicholas-coffield</t>
        </is>
      </c>
      <c r="B642" s="2" t="inlineStr">
        <is>
          <t>Nicholas Coffield</t>
        </is>
      </c>
      <c r="C642" s="2" t="inlineStr">
        <is>
          <t>Western Bulldogs</t>
        </is>
      </c>
      <c r="D642" s="2" t="inlineStr">
        <is>
          <t>SD</t>
        </is>
      </c>
      <c r="E642" s="2" t="n">
        <v>27</v>
      </c>
      <c r="F642" s="2" t="inlineStr">
        <is>
          <t>National pick 8</t>
        </is>
      </c>
      <c r="G642" s="3" t="n">
        <v>48</v>
      </c>
      <c r="H642" s="3" t="n">
        <v>48</v>
      </c>
      <c r="I642" s="3">
        <f>H642-G642</f>
        <v/>
      </c>
      <c r="J642" s="4">
        <f>IF(G642=0,"",(H642-G642)/G642)</f>
        <v/>
      </c>
      <c r="K642" s="4">
        <f>IF(G642=0,"",(H642-G642*0.891738)/(G642*0.891738))</f>
        <v/>
      </c>
      <c r="L642" s="3" t="n">
        <v>0</v>
      </c>
      <c r="M642" s="3" t="n">
        <v>0</v>
      </c>
      <c r="N642" s="3" t="n">
        <v>0</v>
      </c>
      <c r="O642" s="3" t="n">
        <v>0</v>
      </c>
      <c r="P642" s="3" t="n">
        <v>0</v>
      </c>
      <c r="Q642" s="3">
        <f>SUM(L642:P642)-I642</f>
        <v/>
      </c>
    </row>
    <row r="643">
      <c r="A643" s="2" t="inlineStr">
        <is>
          <t>oscar-mcdonald</t>
        </is>
      </c>
      <c r="B643" s="2" t="inlineStr">
        <is>
          <t>Oscar McDonald</t>
        </is>
      </c>
      <c r="C643" s="2" t="inlineStr">
        <is>
          <t>Fremantle</t>
        </is>
      </c>
      <c r="D643" s="2" t="inlineStr">
        <is>
          <t>KPD</t>
        </is>
      </c>
      <c r="E643" s="2" t="n">
        <v>30</v>
      </c>
      <c r="F643" s="2" t="inlineStr">
        <is>
          <t>National pick 53</t>
        </is>
      </c>
      <c r="G643" s="3" t="n">
        <v>158</v>
      </c>
      <c r="H643" s="3" t="n">
        <v>140</v>
      </c>
      <c r="I643" s="3">
        <f>H643-G643</f>
        <v/>
      </c>
      <c r="J643" s="4">
        <f>IF(G643=0,"",(H643-G643)/G643)</f>
        <v/>
      </c>
      <c r="K643" s="4">
        <f>IF(G643=0,"",(H643-G643*0.891738)/(G643*0.891738))</f>
        <v/>
      </c>
      <c r="L643" s="3" t="n">
        <v>-2</v>
      </c>
      <c r="M643" s="3" t="n">
        <v>0</v>
      </c>
      <c r="N643" s="3" t="n">
        <v>-16</v>
      </c>
      <c r="O643" s="3" t="n">
        <v>0</v>
      </c>
      <c r="P643" s="3" t="n">
        <v>0</v>
      </c>
      <c r="Q643" s="3">
        <f>SUM(L643:P643)-I643</f>
        <v/>
      </c>
    </row>
    <row r="644">
      <c r="A644" s="2" t="inlineStr">
        <is>
          <t>harvey-harrison</t>
        </is>
      </c>
      <c r="B644" s="2" t="inlineStr">
        <is>
          <t>Harvey Harrison</t>
        </is>
      </c>
      <c r="C644" s="2" t="inlineStr">
        <is>
          <t>Collingwood</t>
        </is>
      </c>
      <c r="D644" s="2" t="inlineStr">
        <is>
          <t>SF</t>
        </is>
      </c>
      <c r="E644" s="2" t="n">
        <v>23</v>
      </c>
      <c r="F644" s="2" t="inlineStr">
        <is>
          <t>National pick 52</t>
        </is>
      </c>
      <c r="G644" s="3" t="n">
        <v>48</v>
      </c>
      <c r="H644" s="3" t="n">
        <v>29</v>
      </c>
      <c r="I644" s="3">
        <f>H644-G644</f>
        <v/>
      </c>
      <c r="J644" s="4">
        <f>IF(G644=0,"",(H644-G644)/G644)</f>
        <v/>
      </c>
      <c r="K644" s="4">
        <f>IF(G644=0,"",(H644-G644*0.891738)/(G644*0.891738))</f>
        <v/>
      </c>
      <c r="L644" s="3" t="n">
        <v>-14</v>
      </c>
      <c r="M644" s="3" t="n">
        <v>0</v>
      </c>
      <c r="N644" s="3" t="n">
        <v>-5</v>
      </c>
      <c r="O644" s="3" t="n">
        <v>0</v>
      </c>
      <c r="P644" s="3" t="n">
        <v>0</v>
      </c>
      <c r="Q644" s="3">
        <f>SUM(L644:P644)-I644</f>
        <v/>
      </c>
    </row>
    <row r="645">
      <c r="A645" s="2" t="inlineStr">
        <is>
          <t>lewis-young</t>
        </is>
      </c>
      <c r="B645" s="2" t="inlineStr">
        <is>
          <t>Lewis Young</t>
        </is>
      </c>
      <c r="C645" s="2" t="inlineStr">
        <is>
          <t>Carlton</t>
        </is>
      </c>
      <c r="D645" s="2" t="inlineStr">
        <is>
          <t>KPD</t>
        </is>
      </c>
      <c r="E645" s="2" t="n">
        <v>28</v>
      </c>
      <c r="F645" s="2" t="inlineStr">
        <is>
          <t>National pick 49</t>
        </is>
      </c>
      <c r="G645" s="3" t="n">
        <v>130</v>
      </c>
      <c r="H645" s="3" t="n">
        <v>115</v>
      </c>
      <c r="I645" s="3">
        <f>H645-G645</f>
        <v/>
      </c>
      <c r="J645" s="4">
        <f>IF(G645=0,"",(H645-G645)/G645)</f>
        <v/>
      </c>
      <c r="K645" s="4">
        <f>IF(G645=0,"",(H645-G645*0.891738)/(G645*0.891738))</f>
        <v/>
      </c>
      <c r="L645" s="3" t="n">
        <v>-2</v>
      </c>
      <c r="M645" s="3" t="n">
        <v>0</v>
      </c>
      <c r="N645" s="3" t="n">
        <v>-13</v>
      </c>
      <c r="O645" s="3" t="n">
        <v>0</v>
      </c>
      <c r="P645" s="3" t="n">
        <v>0</v>
      </c>
      <c r="Q645" s="3">
        <f>SUM(L645:P645)-I645</f>
        <v/>
      </c>
    </row>
    <row r="646">
      <c r="A646" s="2" t="inlineStr">
        <is>
          <t>jake-lloyd</t>
        </is>
      </c>
      <c r="B646" s="2" t="inlineStr">
        <is>
          <t>Jake Lloyd</t>
        </is>
      </c>
      <c r="C646" s="2" t="inlineStr">
        <is>
          <t>Sydney</t>
        </is>
      </c>
      <c r="D646" s="2" t="inlineStr">
        <is>
          <t>SD</t>
        </is>
      </c>
      <c r="E646" s="2" t="n">
        <v>33</v>
      </c>
      <c r="F646" s="2" t="inlineStr">
        <is>
          <t>Rookie pick 16</t>
        </is>
      </c>
      <c r="G646" s="3" t="n">
        <v>124</v>
      </c>
      <c r="H646" s="3" t="n">
        <v>109</v>
      </c>
      <c r="I646" s="3">
        <f>H646-G646</f>
        <v/>
      </c>
      <c r="J646" s="4">
        <f>IF(G646=0,"",(H646-G646)/G646)</f>
        <v/>
      </c>
      <c r="K646" s="4">
        <f>IF(G646=0,"",(H646-G646*0.891738)/(G646*0.891738))</f>
        <v/>
      </c>
      <c r="L646" s="3" t="n">
        <v>-2</v>
      </c>
      <c r="M646" s="3" t="n">
        <v>0</v>
      </c>
      <c r="N646" s="3" t="n">
        <v>-13</v>
      </c>
      <c r="O646" s="3" t="n">
        <v>0</v>
      </c>
      <c r="P646" s="3" t="n">
        <v>0</v>
      </c>
      <c r="Q646" s="3">
        <f>SUM(L646:P646)-I646</f>
        <v/>
      </c>
    </row>
    <row r="647">
      <c r="A647" s="2" t="inlineStr">
        <is>
          <t>beau-mccreery</t>
        </is>
      </c>
      <c r="B647" s="2" t="inlineStr">
        <is>
          <t>Beau McCreery</t>
        </is>
      </c>
      <c r="C647" s="2" t="inlineStr">
        <is>
          <t>Collingwood</t>
        </is>
      </c>
      <c r="D647" s="2" t="inlineStr">
        <is>
          <t>SF</t>
        </is>
      </c>
      <c r="E647" s="2" t="n">
        <v>25</v>
      </c>
      <c r="F647" s="2" t="inlineStr">
        <is>
          <t>National pick 46</t>
        </is>
      </c>
      <c r="G647" s="3" t="n">
        <v>130</v>
      </c>
      <c r="H647" s="3" t="n">
        <v>113</v>
      </c>
      <c r="I647" s="3">
        <f>H647-G647</f>
        <v/>
      </c>
      <c r="J647" s="4">
        <f>IF(G647=0,"",(H647-G647)/G647)</f>
        <v/>
      </c>
      <c r="K647" s="4">
        <f>IF(G647=0,"",(H647-G647*0.891738)/(G647*0.891738))</f>
        <v/>
      </c>
      <c r="L647" s="3" t="n">
        <v>-4</v>
      </c>
      <c r="M647" s="3" t="n">
        <v>0</v>
      </c>
      <c r="N647" s="3" t="n">
        <v>-13</v>
      </c>
      <c r="O647" s="3" t="n">
        <v>0</v>
      </c>
      <c r="P647" s="3" t="n">
        <v>0</v>
      </c>
      <c r="Q647" s="3">
        <f>SUM(L647:P647)-I647</f>
        <v/>
      </c>
    </row>
    <row r="648">
      <c r="A648" s="2" t="inlineStr">
        <is>
          <t>harrison-petty</t>
        </is>
      </c>
      <c r="B648" s="2" t="inlineStr">
        <is>
          <t>Harrison Petty</t>
        </is>
      </c>
      <c r="C648" s="2" t="inlineStr">
        <is>
          <t>Melbourne</t>
        </is>
      </c>
      <c r="D648" s="2" t="inlineStr">
        <is>
          <t>KPD</t>
        </is>
      </c>
      <c r="E648" s="2" t="n">
        <v>27</v>
      </c>
      <c r="F648" s="2" t="inlineStr">
        <is>
          <t>National pick 37</t>
        </is>
      </c>
      <c r="G648" s="3" t="n">
        <v>181</v>
      </c>
      <c r="H648" s="3" t="n">
        <v>159</v>
      </c>
      <c r="I648" s="3">
        <f>H648-G648</f>
        <v/>
      </c>
      <c r="J648" s="4">
        <f>IF(G648=0,"",(H648-G648)/G648)</f>
        <v/>
      </c>
      <c r="K648" s="4">
        <f>IF(G648=0,"",(H648-G648*0.891738)/(G648*0.891738))</f>
        <v/>
      </c>
      <c r="L648" s="3" t="n">
        <v>-2</v>
      </c>
      <c r="M648" s="3" t="n">
        <v>0</v>
      </c>
      <c r="N648" s="3" t="n">
        <v>-20</v>
      </c>
      <c r="O648" s="3" t="n">
        <v>0</v>
      </c>
      <c r="P648" s="3" t="n">
        <v>0</v>
      </c>
      <c r="Q648" s="3">
        <f>SUM(L648:P648)-I648</f>
        <v/>
      </c>
    </row>
    <row r="649">
      <c r="A649" s="2" t="inlineStr">
        <is>
          <t>zach-guthrie</t>
        </is>
      </c>
      <c r="B649" s="2" t="inlineStr">
        <is>
          <t>Zach Guthrie</t>
        </is>
      </c>
      <c r="C649" s="2" t="inlineStr">
        <is>
          <t>Geelong</t>
        </is>
      </c>
      <c r="D649" s="2" t="inlineStr">
        <is>
          <t>SD</t>
        </is>
      </c>
      <c r="E649" s="2" t="n">
        <v>28</v>
      </c>
      <c r="F649" s="2" t="inlineStr">
        <is>
          <t>Rookie pick 21</t>
        </is>
      </c>
      <c r="G649" s="3" t="n">
        <v>239</v>
      </c>
      <c r="H649" s="3" t="n">
        <v>211</v>
      </c>
      <c r="I649" s="3">
        <f>H649-G649</f>
        <v/>
      </c>
      <c r="J649" s="4">
        <f>IF(G649=0,"",(H649-G649)/G649)</f>
        <v/>
      </c>
      <c r="K649" s="4">
        <f>IF(G649=0,"",(H649-G649*0.891738)/(G649*0.891738))</f>
        <v/>
      </c>
      <c r="L649" s="3" t="n">
        <v>-3</v>
      </c>
      <c r="M649" s="3" t="n">
        <v>0</v>
      </c>
      <c r="N649" s="3" t="n">
        <v>-25</v>
      </c>
      <c r="O649" s="3" t="n">
        <v>0</v>
      </c>
      <c r="P649" s="3" t="n">
        <v>0</v>
      </c>
      <c r="Q649" s="3">
        <f>SUM(L649:P649)-I649</f>
        <v/>
      </c>
    </row>
    <row r="650">
      <c r="A650" s="2" t="inlineStr">
        <is>
          <t>jack-buller</t>
        </is>
      </c>
      <c r="B650" s="2" t="inlineStr">
        <is>
          <t>Jack Buller</t>
        </is>
      </c>
      <c r="C650" s="2" t="inlineStr">
        <is>
          <t>Collingwood</t>
        </is>
      </c>
      <c r="D650" s="2" t="inlineStr">
        <is>
          <t>KPF</t>
        </is>
      </c>
      <c r="E650" s="2" t="n">
        <v>25</v>
      </c>
      <c r="F650" s="2" t="inlineStr">
        <is>
          <t>Mid-Season pick 11</t>
        </is>
      </c>
      <c r="G650" s="3" t="n">
        <v>80</v>
      </c>
      <c r="H650" s="3" t="n">
        <v>80</v>
      </c>
      <c r="I650" s="3">
        <f>H650-G650</f>
        <v/>
      </c>
      <c r="J650" s="4">
        <f>IF(G650=0,"",(H650-G650)/G650)</f>
        <v/>
      </c>
      <c r="K650" s="4">
        <f>IF(G650=0,"",(H650-G650*0.891738)/(G650*0.891738))</f>
        <v/>
      </c>
      <c r="L650" s="3" t="n">
        <v>0</v>
      </c>
      <c r="M650" s="3" t="n">
        <v>0</v>
      </c>
      <c r="N650" s="3" t="n">
        <v>0</v>
      </c>
      <c r="O650" s="3" t="n">
        <v>0</v>
      </c>
      <c r="P650" s="3" t="n">
        <v>0</v>
      </c>
      <c r="Q650" s="3">
        <f>SUM(L650:P650)-I650</f>
        <v/>
      </c>
    </row>
    <row r="651">
      <c r="A651" s="2" t="inlineStr">
        <is>
          <t>oscar-adams</t>
        </is>
      </c>
      <c r="B651" s="2" t="inlineStr">
        <is>
          <t>Oscar Adams</t>
        </is>
      </c>
      <c r="C651" s="2" t="inlineStr">
        <is>
          <t>Gold Coast</t>
        </is>
      </c>
      <c r="D651" s="2" t="inlineStr">
        <is>
          <t>KPD</t>
        </is>
      </c>
      <c r="E651" s="2" t="n">
        <v>23</v>
      </c>
      <c r="F651" s="2" t="inlineStr">
        <is>
          <t>National pick 51</t>
        </is>
      </c>
      <c r="G651" s="3" t="n">
        <v>67</v>
      </c>
      <c r="H651" s="3" t="n">
        <v>82</v>
      </c>
      <c r="I651" s="3">
        <f>H651-G651</f>
        <v/>
      </c>
      <c r="J651" s="4">
        <f>IF(G651=0,"",(H651-G651)/G651)</f>
        <v/>
      </c>
      <c r="K651" s="4">
        <f>IF(G651=0,"",(H651-G651*0.891738)/(G651*0.891738))</f>
        <v/>
      </c>
      <c r="L651" s="3" t="n">
        <v>25</v>
      </c>
      <c r="M651" s="3" t="n">
        <v>0</v>
      </c>
      <c r="N651" s="3" t="n">
        <v>-10</v>
      </c>
      <c r="O651" s="3" t="n">
        <v>0</v>
      </c>
      <c r="P651" s="3" t="n">
        <v>0</v>
      </c>
      <c r="Q651" s="3">
        <f>SUM(L651:P651)-I651</f>
        <v/>
      </c>
    </row>
    <row r="652">
      <c r="A652" s="2" t="inlineStr">
        <is>
          <t>oisin-mullin</t>
        </is>
      </c>
      <c r="B652" s="2" t="inlineStr">
        <is>
          <t>Oisin Mullin</t>
        </is>
      </c>
      <c r="C652" s="2" t="inlineStr">
        <is>
          <t>Geelong</t>
        </is>
      </c>
      <c r="D652" s="2" t="inlineStr">
        <is>
          <t>SD</t>
        </is>
      </c>
      <c r="E652" s="2" t="n">
        <v>26</v>
      </c>
      <c r="F652" s="2" t="inlineStr">
        <is>
          <t>Post-Draft - Ireland (pool)</t>
        </is>
      </c>
      <c r="G652" s="3" t="n">
        <v>17</v>
      </c>
      <c r="H652" s="3" t="n">
        <v>17</v>
      </c>
      <c r="I652" s="3">
        <f>H652-G652</f>
        <v/>
      </c>
      <c r="J652" s="4">
        <f>IF(G652=0,"",(H652-G652)/G652)</f>
        <v/>
      </c>
      <c r="K652" s="4">
        <f>IF(G652=0,"",(H652-G652*0.891738)/(G652*0.891738))</f>
        <v/>
      </c>
      <c r="L652" s="3" t="n">
        <v>0</v>
      </c>
      <c r="M652" s="3" t="n">
        <v>0</v>
      </c>
      <c r="N652" s="3" t="n">
        <v>0</v>
      </c>
      <c r="O652" s="3" t="n">
        <v>0</v>
      </c>
      <c r="P652" s="3" t="n">
        <v>0</v>
      </c>
      <c r="Q652" s="3">
        <f>SUM(L652:P652)-I652</f>
        <v/>
      </c>
    </row>
    <row r="653">
      <c r="A653" s="2" t="inlineStr">
        <is>
          <t>james-borlase</t>
        </is>
      </c>
      <c r="B653" s="2" t="inlineStr">
        <is>
          <t>James Borlase</t>
        </is>
      </c>
      <c r="C653" s="2" t="inlineStr">
        <is>
          <t>Adelaide</t>
        </is>
      </c>
      <c r="D653" s="2" t="inlineStr">
        <is>
          <t>KPD</t>
        </is>
      </c>
      <c r="E653" s="2" t="n">
        <v>24</v>
      </c>
      <c r="F653" s="2" t="inlineStr">
        <is>
          <t>Post-Draft - Next Gen (pool)</t>
        </is>
      </c>
      <c r="G653" s="3" t="n">
        <v>438</v>
      </c>
      <c r="H653" s="3" t="n">
        <v>361</v>
      </c>
      <c r="I653" s="3">
        <f>H653-G653</f>
        <v/>
      </c>
      <c r="J653" s="4">
        <f>IF(G653=0,"",(H653-G653)/G653)</f>
        <v/>
      </c>
      <c r="K653" s="4">
        <f>IF(G653=0,"",(H653-G653*0.891738)/(G653*0.891738))</f>
        <v/>
      </c>
      <c r="L653" s="3" t="n">
        <v>-33</v>
      </c>
      <c r="M653" s="3" t="n">
        <v>0</v>
      </c>
      <c r="N653" s="3" t="n">
        <v>-44</v>
      </c>
      <c r="O653" s="3" t="n">
        <v>0</v>
      </c>
      <c r="P653" s="3" t="n">
        <v>0</v>
      </c>
      <c r="Q653" s="3">
        <f>SUM(L653:P653)-I653</f>
        <v/>
      </c>
    </row>
    <row r="654">
      <c r="A654" s="2" t="inlineStr">
        <is>
          <t>tyrell-dewar</t>
        </is>
      </c>
      <c r="B654" s="2" t="inlineStr">
        <is>
          <t>Tyrell Dewar</t>
        </is>
      </c>
      <c r="C654" s="2" t="inlineStr">
        <is>
          <t>West Coast</t>
        </is>
      </c>
      <c r="D654" s="2" t="inlineStr">
        <is>
          <t>SF</t>
        </is>
      </c>
      <c r="E654" s="2" t="n">
        <v>22</v>
      </c>
      <c r="F654" s="2" t="inlineStr">
        <is>
          <t>Post-Draft - Next Gen (pool)</t>
        </is>
      </c>
      <c r="G654" s="3" t="n">
        <v>113</v>
      </c>
      <c r="H654" s="3" t="n">
        <v>89</v>
      </c>
      <c r="I654" s="3">
        <f>H654-G654</f>
        <v/>
      </c>
      <c r="J654" s="4">
        <f>IF(G654=0,"",(H654-G654)/G654)</f>
        <v/>
      </c>
      <c r="K654" s="4">
        <f>IF(G654=0,"",(H654-G654*0.891738)/(G654*0.891738))</f>
        <v/>
      </c>
      <c r="L654" s="3" t="n">
        <v>-12</v>
      </c>
      <c r="M654" s="3" t="n">
        <v>0</v>
      </c>
      <c r="N654" s="3" t="n">
        <v>-12</v>
      </c>
      <c r="O654" s="3" t="n">
        <v>0</v>
      </c>
      <c r="P654" s="3" t="n">
        <v>0</v>
      </c>
      <c r="Q654" s="3">
        <f>SUM(L654:P654)-I654</f>
        <v/>
      </c>
    </row>
    <row r="655">
      <c r="A655" s="2" t="inlineStr">
        <is>
          <t>robert-hansen</t>
        </is>
      </c>
      <c r="B655" s="2" t="inlineStr">
        <is>
          <t>Robert Hansen</t>
        </is>
      </c>
      <c r="C655" s="2" t="inlineStr">
        <is>
          <t>North Melbourne</t>
        </is>
      </c>
      <c r="D655" s="2" t="inlineStr">
        <is>
          <t>SF</t>
        </is>
      </c>
      <c r="E655" s="2" t="n">
        <v>22</v>
      </c>
      <c r="F655" s="2" t="inlineStr">
        <is>
          <t>Mid-Season pick 2</t>
        </is>
      </c>
      <c r="G655" s="3" t="n">
        <v>91</v>
      </c>
      <c r="H655" s="3" t="n">
        <v>80</v>
      </c>
      <c r="I655" s="3">
        <f>H655-G655</f>
        <v/>
      </c>
      <c r="J655" s="4">
        <f>IF(G655=0,"",(H655-G655)/G655)</f>
        <v/>
      </c>
      <c r="K655" s="4">
        <f>IF(G655=0,"",(H655-G655*0.891738)/(G655*0.891738))</f>
        <v/>
      </c>
      <c r="L655" s="3" t="n">
        <v>-11</v>
      </c>
      <c r="M655" s="3" t="n">
        <v>0</v>
      </c>
      <c r="N655" s="3" t="n">
        <v>0</v>
      </c>
      <c r="O655" s="3" t="n">
        <v>0</v>
      </c>
      <c r="P655" s="3" t="n">
        <v>0</v>
      </c>
      <c r="Q655" s="3">
        <f>SUM(L655:P655)-I655</f>
        <v/>
      </c>
    </row>
    <row r="656">
      <c r="A656" s="2" t="inlineStr">
        <is>
          <t>taylor-walker</t>
        </is>
      </c>
      <c r="B656" s="2" t="inlineStr">
        <is>
          <t>Taylor Walker</t>
        </is>
      </c>
      <c r="C656" s="2" t="inlineStr">
        <is>
          <t>Adelaide</t>
        </is>
      </c>
      <c r="D656" s="2" t="inlineStr">
        <is>
          <t>KPF</t>
        </is>
      </c>
      <c r="E656" s="2" t="n">
        <v>37</v>
      </c>
      <c r="F656" s="2" t="inlineStr">
        <is>
          <t>National pick 64</t>
        </is>
      </c>
      <c r="G656" s="3" t="n">
        <v>128</v>
      </c>
      <c r="H656" s="3" t="n">
        <v>109</v>
      </c>
      <c r="I656" s="3">
        <f>H656-G656</f>
        <v/>
      </c>
      <c r="J656" s="4">
        <f>IF(G656=0,"",(H656-G656)/G656)</f>
        <v/>
      </c>
      <c r="K656" s="4">
        <f>IF(G656=0,"",(H656-G656*0.891738)/(G656*0.891738))</f>
        <v/>
      </c>
      <c r="L656" s="3" t="n">
        <v>-2</v>
      </c>
      <c r="M656" s="3" t="n">
        <v>-4</v>
      </c>
      <c r="N656" s="3" t="n">
        <v>-13</v>
      </c>
      <c r="O656" s="3" t="n">
        <v>0</v>
      </c>
      <c r="P656" s="3" t="n">
        <v>0</v>
      </c>
      <c r="Q656" s="3">
        <f>SUM(L656:P656)-I656</f>
        <v/>
      </c>
    </row>
    <row r="657">
      <c r="A657" s="2" t="inlineStr">
        <is>
          <t>tom-mcdonald</t>
        </is>
      </c>
      <c r="B657" s="2" t="inlineStr">
        <is>
          <t>Tom McDonald</t>
        </is>
      </c>
      <c r="C657" s="2" t="inlineStr">
        <is>
          <t>Melbourne</t>
        </is>
      </c>
      <c r="D657" s="2" t="inlineStr">
        <is>
          <t>KPD</t>
        </is>
      </c>
      <c r="E657" s="2" t="n">
        <v>34</v>
      </c>
      <c r="F657" s="2" t="inlineStr">
        <is>
          <t>National pick 54</t>
        </is>
      </c>
      <c r="G657" s="3" t="n">
        <v>124</v>
      </c>
      <c r="H657" s="3" t="n">
        <v>110</v>
      </c>
      <c r="I657" s="3">
        <f>H657-G657</f>
        <v/>
      </c>
      <c r="J657" s="4">
        <f>IF(G657=0,"",(H657-G657)/G657)</f>
        <v/>
      </c>
      <c r="K657" s="4">
        <f>IF(G657=0,"",(H657-G657*0.891738)/(G657*0.891738))</f>
        <v/>
      </c>
      <c r="L657" s="3" t="n">
        <v>0</v>
      </c>
      <c r="M657" s="3" t="n">
        <v>0</v>
      </c>
      <c r="N657" s="3" t="n">
        <v>-14</v>
      </c>
      <c r="O657" s="3" t="n">
        <v>0</v>
      </c>
      <c r="P657" s="3" t="n">
        <v>0</v>
      </c>
      <c r="Q657" s="3">
        <f>SUM(L657:P657)-I657</f>
        <v/>
      </c>
    </row>
    <row r="658">
      <c r="A658" s="2" t="inlineStr">
        <is>
          <t>harrison-himmelberg</t>
        </is>
      </c>
      <c r="B658" s="2" t="inlineStr">
        <is>
          <t>Harrison Himmelberg</t>
        </is>
      </c>
      <c r="C658" s="2" t="inlineStr">
        <is>
          <t>GWS</t>
        </is>
      </c>
      <c r="D658" s="2" t="inlineStr">
        <is>
          <t>SD</t>
        </is>
      </c>
      <c r="E658" s="2" t="n">
        <v>30</v>
      </c>
      <c r="F658" s="2" t="inlineStr">
        <is>
          <t>National pick 16</t>
        </is>
      </c>
      <c r="G658" s="3" t="n">
        <v>149</v>
      </c>
      <c r="H658" s="3" t="n">
        <v>131</v>
      </c>
      <c r="I658" s="3">
        <f>H658-G658</f>
        <v/>
      </c>
      <c r="J658" s="4">
        <f>IF(G658=0,"",(H658-G658)/G658)</f>
        <v/>
      </c>
      <c r="K658" s="4">
        <f>IF(G658=0,"",(H658-G658*0.891738)/(G658*0.891738))</f>
        <v/>
      </c>
      <c r="L658" s="3" t="n">
        <v>-2</v>
      </c>
      <c r="M658" s="3" t="n">
        <v>0</v>
      </c>
      <c r="N658" s="3" t="n">
        <v>-16</v>
      </c>
      <c r="O658" s="3" t="n">
        <v>0</v>
      </c>
      <c r="P658" s="3" t="n">
        <v>0</v>
      </c>
      <c r="Q658" s="3">
        <f>SUM(L658:P658)-I658</f>
        <v/>
      </c>
    </row>
    <row r="659">
      <c r="A659" s="2" t="inlineStr">
        <is>
          <t>sandy-brock</t>
        </is>
      </c>
      <c r="B659" s="2" t="inlineStr">
        <is>
          <t>Sandy Brock</t>
        </is>
      </c>
      <c r="C659" s="2" t="inlineStr">
        <is>
          <t>West Coast</t>
        </is>
      </c>
      <c r="D659" s="2" t="inlineStr">
        <is>
          <t>KPD</t>
        </is>
      </c>
      <c r="E659" s="2" t="n">
        <v>24</v>
      </c>
      <c r="F659" s="2" t="inlineStr">
        <is>
          <t>Post-Draft - Academy (pool)</t>
        </is>
      </c>
      <c r="G659" s="3" t="n">
        <v>176</v>
      </c>
      <c r="H659" s="3" t="n">
        <v>127</v>
      </c>
      <c r="I659" s="3">
        <f>H659-G659</f>
        <v/>
      </c>
      <c r="J659" s="4">
        <f>IF(G659=0,"",(H659-G659)/G659)</f>
        <v/>
      </c>
      <c r="K659" s="4">
        <f>IF(G659=0,"",(H659-G659*0.891738)/(G659*0.891738))</f>
        <v/>
      </c>
      <c r="L659" s="3" t="n">
        <v>-33</v>
      </c>
      <c r="M659" s="3" t="n">
        <v>0</v>
      </c>
      <c r="N659" s="3" t="n">
        <v>-16</v>
      </c>
      <c r="O659" s="3" t="n">
        <v>0</v>
      </c>
      <c r="P659" s="3" t="n">
        <v>0</v>
      </c>
      <c r="Q659" s="3">
        <f>SUM(L659:P659)-I659</f>
        <v/>
      </c>
    </row>
    <row r="660">
      <c r="A660" s="2" t="inlineStr">
        <is>
          <t>conor-stone</t>
        </is>
      </c>
      <c r="B660" s="2" t="inlineStr">
        <is>
          <t>Conor Stone</t>
        </is>
      </c>
      <c r="C660" s="2" t="inlineStr">
        <is>
          <t>GWS</t>
        </is>
      </c>
      <c r="D660" s="2" t="inlineStr">
        <is>
          <t>SD</t>
        </is>
      </c>
      <c r="E660" s="2" t="n">
        <v>24</v>
      </c>
      <c r="F660" s="2" t="inlineStr">
        <is>
          <t>National pick 15</t>
        </is>
      </c>
      <c r="G660" s="3" t="n">
        <v>76</v>
      </c>
      <c r="H660" s="3" t="n">
        <v>72</v>
      </c>
      <c r="I660" s="3">
        <f>H660-G660</f>
        <v/>
      </c>
      <c r="J660" s="4">
        <f>IF(G660=0,"",(H660-G660)/G660)</f>
        <v/>
      </c>
      <c r="K660" s="4">
        <f>IF(G660=0,"",(H660-G660*0.891738)/(G660*0.891738))</f>
        <v/>
      </c>
      <c r="L660" s="3" t="n">
        <v>0</v>
      </c>
      <c r="M660" s="3" t="n">
        <v>0</v>
      </c>
      <c r="N660" s="3" t="n">
        <v>-4</v>
      </c>
      <c r="O660" s="3" t="n">
        <v>0</v>
      </c>
      <c r="P660" s="3" t="n">
        <v>0</v>
      </c>
      <c r="Q660" s="3">
        <f>SUM(L660:P660)-I660</f>
        <v/>
      </c>
    </row>
    <row r="661">
      <c r="A661" s="2" t="inlineStr">
        <is>
          <t>bailey-laurie</t>
        </is>
      </c>
      <c r="B661" s="2" t="inlineStr">
        <is>
          <t>Bailey Laurie</t>
        </is>
      </c>
      <c r="C661" s="2" t="inlineStr">
        <is>
          <t>Melbourne</t>
        </is>
      </c>
      <c r="D661" s="2" t="inlineStr">
        <is>
          <t>SF</t>
        </is>
      </c>
      <c r="E661" s="2" t="n">
        <v>24</v>
      </c>
      <c r="F661" s="2" t="inlineStr">
        <is>
          <t>National pick 23</t>
        </is>
      </c>
      <c r="G661" s="3" t="n">
        <v>56</v>
      </c>
      <c r="H661" s="3" t="n">
        <v>54</v>
      </c>
      <c r="I661" s="3">
        <f>H661-G661</f>
        <v/>
      </c>
      <c r="J661" s="4">
        <f>IF(G661=0,"",(H661-G661)/G661)</f>
        <v/>
      </c>
      <c r="K661" s="4">
        <f>IF(G661=0,"",(H661-G661*0.891738)/(G661*0.891738))</f>
        <v/>
      </c>
      <c r="L661" s="3" t="n">
        <v>0</v>
      </c>
      <c r="M661" s="3" t="n">
        <v>0</v>
      </c>
      <c r="N661" s="3" t="n">
        <v>-2</v>
      </c>
      <c r="O661" s="3" t="n">
        <v>0</v>
      </c>
      <c r="P661" s="3" t="n">
        <v>0</v>
      </c>
      <c r="Q661" s="3">
        <f>SUM(L661:P661)-I661</f>
        <v/>
      </c>
    </row>
    <row r="662">
      <c r="A662" s="2" t="inlineStr">
        <is>
          <t>jarrod-witts</t>
        </is>
      </c>
      <c r="B662" s="2" t="inlineStr">
        <is>
          <t>Jarrod Witts</t>
        </is>
      </c>
      <c r="C662" s="2" t="inlineStr">
        <is>
          <t>Gold Coast</t>
        </is>
      </c>
      <c r="D662" s="2" t="inlineStr">
        <is>
          <t>RUCK</t>
        </is>
      </c>
      <c r="E662" s="2" t="n">
        <v>34</v>
      </c>
      <c r="F662" s="2" t="inlineStr">
        <is>
          <t>National pick 74</t>
        </is>
      </c>
      <c r="G662" s="3" t="n">
        <v>142</v>
      </c>
      <c r="H662" s="3" t="n">
        <v>124</v>
      </c>
      <c r="I662" s="3">
        <f>H662-G662</f>
        <v/>
      </c>
      <c r="J662" s="4">
        <f>IF(G662=0,"",(H662-G662)/G662)</f>
        <v/>
      </c>
      <c r="K662" s="4">
        <f>IF(G662=0,"",(H662-G662*0.891738)/(G662*0.891738))</f>
        <v/>
      </c>
      <c r="L662" s="3" t="n">
        <v>-2</v>
      </c>
      <c r="M662" s="3" t="n">
        <v>0</v>
      </c>
      <c r="N662" s="3" t="n">
        <v>-16</v>
      </c>
      <c r="O662" s="3" t="n">
        <v>0</v>
      </c>
      <c r="P662" s="3" t="n">
        <v>0</v>
      </c>
      <c r="Q662" s="3">
        <f>SUM(L662:P662)-I662</f>
        <v/>
      </c>
    </row>
    <row r="663">
      <c r="A663" s="2" t="inlineStr">
        <is>
          <t>tyson-stengle</t>
        </is>
      </c>
      <c r="B663" s="2" t="inlineStr">
        <is>
          <t>Tyson Stengle</t>
        </is>
      </c>
      <c r="C663" s="2" t="inlineStr">
        <is>
          <t>Richmond</t>
        </is>
      </c>
      <c r="D663" s="2" t="inlineStr">
        <is>
          <t>SF</t>
        </is>
      </c>
      <c r="E663" s="2" t="n">
        <v>28</v>
      </c>
      <c r="F663" s="2" t="inlineStr">
        <is>
          <t>Rookie pick 4</t>
        </is>
      </c>
      <c r="G663" s="3" t="n">
        <v>158</v>
      </c>
      <c r="H663" s="3" t="n">
        <v>139</v>
      </c>
      <c r="I663" s="3">
        <f>H663-G663</f>
        <v/>
      </c>
      <c r="J663" s="4">
        <f>IF(G663=0,"",(H663-G663)/G663)</f>
        <v/>
      </c>
      <c r="K663" s="4">
        <f>IF(G663=0,"",(H663-G663*0.891738)/(G663*0.891738))</f>
        <v/>
      </c>
      <c r="L663" s="3" t="n">
        <v>-2</v>
      </c>
      <c r="M663" s="3" t="n">
        <v>0</v>
      </c>
      <c r="N663" s="3" t="n">
        <v>-17</v>
      </c>
      <c r="O663" s="3" t="n">
        <v>0</v>
      </c>
      <c r="P663" s="3" t="n">
        <v>0</v>
      </c>
      <c r="Q663" s="3">
        <f>SUM(L663:P663)-I663</f>
        <v/>
      </c>
    </row>
    <row r="664">
      <c r="A664" s="2" t="inlineStr">
        <is>
          <t>finlay-macrae</t>
        </is>
      </c>
      <c r="B664" s="2" t="inlineStr">
        <is>
          <t>Finlay Macrae</t>
        </is>
      </c>
      <c r="C664" s="2" t="inlineStr">
        <is>
          <t>West Coast</t>
        </is>
      </c>
      <c r="D664" s="2" t="inlineStr">
        <is>
          <t>MID</t>
        </is>
      </c>
      <c r="E664" s="2" t="n">
        <v>24</v>
      </c>
      <c r="F664" s="2" t="inlineStr">
        <is>
          <t>National pick 20</t>
        </is>
      </c>
      <c r="G664" s="3" t="n">
        <v>110</v>
      </c>
      <c r="H664" s="3" t="n">
        <v>106</v>
      </c>
      <c r="I664" s="3">
        <f>H664-G664</f>
        <v/>
      </c>
      <c r="J664" s="4">
        <f>IF(G664=0,"",(H664-G664)/G664)</f>
        <v/>
      </c>
      <c r="K664" s="4">
        <f>IF(G664=0,"",(H664-G664*0.891738)/(G664*0.891738))</f>
        <v/>
      </c>
      <c r="L664" s="3" t="n">
        <v>0</v>
      </c>
      <c r="M664" s="3" t="n">
        <v>0</v>
      </c>
      <c r="N664" s="3" t="n">
        <v>-4</v>
      </c>
      <c r="O664" s="3" t="n">
        <v>0</v>
      </c>
      <c r="P664" s="3" t="n">
        <v>0</v>
      </c>
      <c r="Q664" s="3">
        <f>SUM(L664:P664)-I664</f>
        <v/>
      </c>
    </row>
    <row r="665">
      <c r="A665" s="2" t="inlineStr">
        <is>
          <t>harry-sharp</t>
        </is>
      </c>
      <c r="B665" s="2" t="inlineStr">
        <is>
          <t>Harry Sharp</t>
        </is>
      </c>
      <c r="C665" s="2" t="inlineStr">
        <is>
          <t>Brisbane</t>
        </is>
      </c>
      <c r="D665" s="2" t="inlineStr">
        <is>
          <t>SF</t>
        </is>
      </c>
      <c r="E665" s="2" t="n">
        <v>24</v>
      </c>
      <c r="F665" s="2" t="inlineStr">
        <is>
          <t>National pick 45</t>
        </is>
      </c>
      <c r="G665" s="3" t="n">
        <v>54</v>
      </c>
      <c r="H665" s="3" t="n">
        <v>45</v>
      </c>
      <c r="I665" s="3">
        <f>H665-G665</f>
        <v/>
      </c>
      <c r="J665" s="4">
        <f>IF(G665=0,"",(H665-G665)/G665)</f>
        <v/>
      </c>
      <c r="K665" s="4">
        <f>IF(G665=0,"",(H665-G665*0.891738)/(G665*0.891738))</f>
        <v/>
      </c>
      <c r="L665" s="3" t="n">
        <v>-4</v>
      </c>
      <c r="M665" s="3" t="n">
        <v>0</v>
      </c>
      <c r="N665" s="3" t="n">
        <v>-5</v>
      </c>
      <c r="O665" s="3" t="n">
        <v>0</v>
      </c>
      <c r="P665" s="3" t="n">
        <v>0</v>
      </c>
      <c r="Q665" s="3">
        <f>SUM(L665:P665)-I665</f>
        <v/>
      </c>
    </row>
    <row r="666">
      <c r="A666" s="2" t="inlineStr">
        <is>
          <t>mitchell-hinge</t>
        </is>
      </c>
      <c r="B666" s="2" t="inlineStr">
        <is>
          <t>Mitchell Hinge</t>
        </is>
      </c>
      <c r="C666" s="2" t="inlineStr">
        <is>
          <t>Adelaide</t>
        </is>
      </c>
      <c r="D666" s="2" t="inlineStr">
        <is>
          <t>SD</t>
        </is>
      </c>
      <c r="E666" s="2" t="n">
        <v>28</v>
      </c>
      <c r="F666" s="2" t="inlineStr">
        <is>
          <t>Rookie pick 15</t>
        </is>
      </c>
      <c r="G666" s="3" t="n">
        <v>349</v>
      </c>
      <c r="H666" s="3" t="n">
        <v>300</v>
      </c>
      <c r="I666" s="3">
        <f>H666-G666</f>
        <v/>
      </c>
      <c r="J666" s="4">
        <f>IF(G666=0,"",(H666-G666)/G666)</f>
        <v/>
      </c>
      <c r="K666" s="4">
        <f>IF(G666=0,"",(H666-G666*0.891738)/(G666*0.891738))</f>
        <v/>
      </c>
      <c r="L666" s="3" t="n">
        <v>-13</v>
      </c>
      <c r="M666" s="3" t="n">
        <v>0</v>
      </c>
      <c r="N666" s="3" t="n">
        <v>-36</v>
      </c>
      <c r="O666" s="3" t="n">
        <v>0</v>
      </c>
      <c r="P666" s="3" t="n">
        <v>0</v>
      </c>
      <c r="Q666" s="3">
        <f>SUM(L666:P666)-I666</f>
        <v/>
      </c>
    </row>
    <row r="667">
      <c r="A667" s="2" t="inlineStr">
        <is>
          <t>jake-stringer</t>
        </is>
      </c>
      <c r="B667" s="2" t="inlineStr">
        <is>
          <t>Jake Stringer</t>
        </is>
      </c>
      <c r="C667" s="2" t="inlineStr">
        <is>
          <t>GWS</t>
        </is>
      </c>
      <c r="D667" s="2" t="inlineStr">
        <is>
          <t>SF</t>
        </is>
      </c>
      <c r="E667" s="2" t="n">
        <v>32</v>
      </c>
      <c r="F667" s="2" t="inlineStr">
        <is>
          <t>National pick 7</t>
        </is>
      </c>
      <c r="G667" s="3" t="n">
        <v>107</v>
      </c>
      <c r="H667" s="3" t="n">
        <v>94</v>
      </c>
      <c r="I667" s="3">
        <f>H667-G667</f>
        <v/>
      </c>
      <c r="J667" s="4">
        <f>IF(G667=0,"",(H667-G667)/G667)</f>
        <v/>
      </c>
      <c r="K667" s="4">
        <f>IF(G667=0,"",(H667-G667*0.891738)/(G667*0.891738))</f>
        <v/>
      </c>
      <c r="L667" s="3" t="n">
        <v>-2</v>
      </c>
      <c r="M667" s="3" t="n">
        <v>0</v>
      </c>
      <c r="N667" s="3" t="n">
        <v>-11</v>
      </c>
      <c r="O667" s="3" t="n">
        <v>0</v>
      </c>
      <c r="P667" s="3" t="n">
        <v>0</v>
      </c>
      <c r="Q667" s="3">
        <f>SUM(L667:P667)-I667</f>
        <v/>
      </c>
    </row>
    <row r="668">
      <c r="A668" s="2" t="inlineStr">
        <is>
          <t>jai-culley</t>
        </is>
      </c>
      <c r="B668" s="2" t="inlineStr">
        <is>
          <t>Jai Culley</t>
        </is>
      </c>
      <c r="C668" s="2" t="inlineStr">
        <is>
          <t>Melbourne</t>
        </is>
      </c>
      <c r="D668" s="2" t="inlineStr">
        <is>
          <t>MID</t>
        </is>
      </c>
      <c r="E668" s="2" t="n">
        <v>23</v>
      </c>
      <c r="F668" s="2" t="inlineStr">
        <is>
          <t>Mid-Season pick 1</t>
        </is>
      </c>
      <c r="G668" s="3" t="n">
        <v>189</v>
      </c>
      <c r="H668" s="3" t="n">
        <v>121</v>
      </c>
      <c r="I668" s="3">
        <f>H668-G668</f>
        <v/>
      </c>
      <c r="J668" s="4">
        <f>IF(G668=0,"",(H668-G668)/G668)</f>
        <v/>
      </c>
      <c r="K668" s="4">
        <f>IF(G668=0,"",(H668-G668*0.891738)/(G668*0.891738))</f>
        <v/>
      </c>
      <c r="L668" s="3" t="n">
        <v>-54</v>
      </c>
      <c r="M668" s="3" t="n">
        <v>0</v>
      </c>
      <c r="N668" s="3" t="n">
        <v>-14</v>
      </c>
      <c r="O668" s="3" t="n">
        <v>0</v>
      </c>
      <c r="P668" s="3" t="n">
        <v>0</v>
      </c>
      <c r="Q668" s="3">
        <f>SUM(L668:P668)-I668</f>
        <v/>
      </c>
    </row>
    <row r="669">
      <c r="A669" s="2" t="inlineStr">
        <is>
          <t>jack-payne</t>
        </is>
      </c>
      <c r="B669" s="2" t="inlineStr">
        <is>
          <t>Jack Payne</t>
        </is>
      </c>
      <c r="C669" s="2" t="inlineStr">
        <is>
          <t>Brisbane</t>
        </is>
      </c>
      <c r="D669" s="2" t="inlineStr">
        <is>
          <t>KPD</t>
        </is>
      </c>
      <c r="E669" s="2" t="n">
        <v>27</v>
      </c>
      <c r="F669" s="2" t="inlineStr">
        <is>
          <t>National pick 54</t>
        </is>
      </c>
      <c r="G669" s="3" t="n">
        <v>100</v>
      </c>
      <c r="H669" s="3" t="n">
        <v>87</v>
      </c>
      <c r="I669" s="3">
        <f>H669-G669</f>
        <v/>
      </c>
      <c r="J669" s="4">
        <f>IF(G669=0,"",(H669-G669)/G669)</f>
        <v/>
      </c>
      <c r="K669" s="4">
        <f>IF(G669=0,"",(H669-G669*0.891738)/(G669*0.891738))</f>
        <v/>
      </c>
      <c r="L669" s="3" t="n">
        <v>-2</v>
      </c>
      <c r="M669" s="3" t="n">
        <v>0</v>
      </c>
      <c r="N669" s="3" t="n">
        <v>-11</v>
      </c>
      <c r="O669" s="3" t="n">
        <v>0</v>
      </c>
      <c r="P669" s="3" t="n">
        <v>0</v>
      </c>
      <c r="Q669" s="3">
        <f>SUM(L669:P669)-I669</f>
        <v/>
      </c>
    </row>
    <row r="670">
      <c r="A670" s="2" t="inlineStr">
        <is>
          <t>corey-durdin</t>
        </is>
      </c>
      <c r="B670" s="2" t="inlineStr">
        <is>
          <t>Corey Durdin</t>
        </is>
      </c>
      <c r="C670" s="2" t="inlineStr">
        <is>
          <t>Carlton</t>
        </is>
      </c>
      <c r="D670" s="2" t="inlineStr">
        <is>
          <t>SF</t>
        </is>
      </c>
      <c r="E670" s="2" t="n">
        <v>24</v>
      </c>
      <c r="F670" s="2" t="inlineStr">
        <is>
          <t>National pick 39</t>
        </is>
      </c>
      <c r="G670" s="3" t="n">
        <v>48</v>
      </c>
      <c r="H670" s="3" t="n">
        <v>41</v>
      </c>
      <c r="I670" s="3">
        <f>H670-G670</f>
        <v/>
      </c>
      <c r="J670" s="4">
        <f>IF(G670=0,"",(H670-G670)/G670)</f>
        <v/>
      </c>
      <c r="K670" s="4">
        <f>IF(G670=0,"",(H670-G670*0.891738)/(G670*0.891738))</f>
        <v/>
      </c>
      <c r="L670" s="3" t="n">
        <v>-1</v>
      </c>
      <c r="M670" s="3" t="n">
        <v>0</v>
      </c>
      <c r="N670" s="3" t="n">
        <v>-6</v>
      </c>
      <c r="O670" s="3" t="n">
        <v>0</v>
      </c>
      <c r="P670" s="3" t="n">
        <v>0</v>
      </c>
      <c r="Q670" s="3">
        <f>SUM(L670:P670)-I670</f>
        <v/>
      </c>
    </row>
    <row r="671">
      <c r="A671" s="2" t="inlineStr">
        <is>
          <t>wade-derksen</t>
        </is>
      </c>
      <c r="B671" s="2" t="inlineStr">
        <is>
          <t>Wade Derksen</t>
        </is>
      </c>
      <c r="C671" s="2" t="inlineStr">
        <is>
          <t>Carlton</t>
        </is>
      </c>
      <c r="D671" s="2" t="inlineStr">
        <is>
          <t>KPD</t>
        </is>
      </c>
      <c r="E671" s="2" t="n">
        <v>25</v>
      </c>
      <c r="F671" s="2" t="inlineStr">
        <is>
          <t>Mid-Season pick 5</t>
        </is>
      </c>
      <c r="G671" s="3" t="n">
        <v>84</v>
      </c>
      <c r="H671" s="3" t="n">
        <v>61</v>
      </c>
      <c r="I671" s="3">
        <f>H671-G671</f>
        <v/>
      </c>
      <c r="J671" s="4">
        <f>IF(G671=0,"",(H671-G671)/G671)</f>
        <v/>
      </c>
      <c r="K671" s="4">
        <f>IF(G671=0,"",(H671-G671*0.891738)/(G671*0.891738))</f>
        <v/>
      </c>
      <c r="L671" s="3" t="n">
        <v>-17</v>
      </c>
      <c r="M671" s="3" t="n">
        <v>0</v>
      </c>
      <c r="N671" s="3" t="n">
        <v>-6</v>
      </c>
      <c r="O671" s="3" t="n">
        <v>0</v>
      </c>
      <c r="P671" s="3" t="n">
        <v>0</v>
      </c>
      <c r="Q671" s="3">
        <f>SUM(L671:P671)-I671</f>
        <v/>
      </c>
    </row>
    <row r="672">
      <c r="A672" s="2" t="inlineStr">
        <is>
          <t>luke-cleary</t>
        </is>
      </c>
      <c r="B672" s="2" t="inlineStr">
        <is>
          <t>Luke Cleary</t>
        </is>
      </c>
      <c r="C672" s="2" t="inlineStr">
        <is>
          <t>Western Bulldogs</t>
        </is>
      </c>
      <c r="D672" s="2" t="inlineStr">
        <is>
          <t>SD</t>
        </is>
      </c>
      <c r="E672" s="2" t="n">
        <v>24</v>
      </c>
      <c r="F672" s="2" t="inlineStr">
        <is>
          <t>National pick 61</t>
        </is>
      </c>
      <c r="G672" s="3" t="n">
        <v>39</v>
      </c>
      <c r="H672" s="3" t="n">
        <v>32</v>
      </c>
      <c r="I672" s="3">
        <f>H672-G672</f>
        <v/>
      </c>
      <c r="J672" s="4">
        <f>IF(G672=0,"",(H672-G672)/G672)</f>
        <v/>
      </c>
      <c r="K672" s="4">
        <f>IF(G672=0,"",(H672-G672*0.891738)/(G672*0.891738))</f>
        <v/>
      </c>
      <c r="L672" s="3" t="n">
        <v>-2</v>
      </c>
      <c r="M672" s="3" t="n">
        <v>0</v>
      </c>
      <c r="N672" s="3" t="n">
        <v>-5</v>
      </c>
      <c r="O672" s="3" t="n">
        <v>0</v>
      </c>
      <c r="P672" s="3" t="n">
        <v>0</v>
      </c>
      <c r="Q672" s="3">
        <f>SUM(L672:P672)-I672</f>
        <v/>
      </c>
    </row>
    <row r="673">
      <c r="A673" s="2" t="inlineStr">
        <is>
          <t>dylan-stephens</t>
        </is>
      </c>
      <c r="B673" s="2" t="inlineStr">
        <is>
          <t>Dylan Stephens</t>
        </is>
      </c>
      <c r="C673" s="2" t="inlineStr">
        <is>
          <t>North Melbourne</t>
        </is>
      </c>
      <c r="D673" s="2" t="inlineStr">
        <is>
          <t>MID</t>
        </is>
      </c>
      <c r="E673" s="2" t="n">
        <v>25</v>
      </c>
      <c r="F673" s="2" t="inlineStr">
        <is>
          <t>National pick 5</t>
        </is>
      </c>
      <c r="G673" s="3" t="n">
        <v>423</v>
      </c>
      <c r="H673" s="3" t="n">
        <v>369</v>
      </c>
      <c r="I673" s="3">
        <f>H673-G673</f>
        <v/>
      </c>
      <c r="J673" s="4">
        <f>IF(G673=0,"",(H673-G673)/G673)</f>
        <v/>
      </c>
      <c r="K673" s="4">
        <f>IF(G673=0,"",(H673-G673*0.891738)/(G673*0.891738))</f>
        <v/>
      </c>
      <c r="L673" s="3" t="n">
        <v>-10</v>
      </c>
      <c r="M673" s="3" t="n">
        <v>0</v>
      </c>
      <c r="N673" s="3" t="n">
        <v>-44</v>
      </c>
      <c r="O673" s="3" t="n">
        <v>0</v>
      </c>
      <c r="P673" s="3" t="n">
        <v>0</v>
      </c>
      <c r="Q673" s="3">
        <f>SUM(L673:P673)-I673</f>
        <v/>
      </c>
    </row>
    <row r="674">
      <c r="A674" s="2" t="inlineStr">
        <is>
          <t>zac-fisher</t>
        </is>
      </c>
      <c r="B674" s="2" t="inlineStr">
        <is>
          <t>Zac Fisher</t>
        </is>
      </c>
      <c r="C674" s="2" t="inlineStr">
        <is>
          <t>North Melbourne</t>
        </is>
      </c>
      <c r="D674" s="2" t="inlineStr">
        <is>
          <t>SF</t>
        </is>
      </c>
      <c r="E674" s="2" t="n">
        <v>28</v>
      </c>
      <c r="F674" s="2" t="inlineStr">
        <is>
          <t>National pick 27</t>
        </is>
      </c>
      <c r="G674" s="3" t="n">
        <v>107</v>
      </c>
      <c r="H674" s="3" t="n">
        <v>95</v>
      </c>
      <c r="I674" s="3">
        <f>H674-G674</f>
        <v/>
      </c>
      <c r="J674" s="4">
        <f>IF(G674=0,"",(H674-G674)/G674)</f>
        <v/>
      </c>
      <c r="K674" s="4">
        <f>IF(G674=0,"",(H674-G674*0.891738)/(G674*0.891738))</f>
        <v/>
      </c>
      <c r="L674" s="3" t="n">
        <v>-2</v>
      </c>
      <c r="M674" s="3" t="n">
        <v>0</v>
      </c>
      <c r="N674" s="3" t="n">
        <v>-10</v>
      </c>
      <c r="O674" s="3" t="n">
        <v>0</v>
      </c>
      <c r="P674" s="3" t="n">
        <v>0</v>
      </c>
      <c r="Q674" s="3">
        <f>SUM(L674:P674)-I674</f>
        <v/>
      </c>
    </row>
    <row r="675">
      <c r="A675" s="2" t="inlineStr">
        <is>
          <t>andy-moniz-wakefield</t>
        </is>
      </c>
      <c r="B675" s="2" t="inlineStr">
        <is>
          <t>Andy Moniz-Wakefield</t>
        </is>
      </c>
      <c r="C675" s="2" t="inlineStr">
        <is>
          <t>Melbourne</t>
        </is>
      </c>
      <c r="D675" s="2" t="inlineStr">
        <is>
          <t>SD</t>
        </is>
      </c>
      <c r="E675" s="2" t="n">
        <v>23</v>
      </c>
      <c r="F675" s="2" t="inlineStr">
        <is>
          <t>Post-Draft - Next Gen (pool)</t>
        </is>
      </c>
      <c r="G675" s="3" t="n">
        <v>28</v>
      </c>
      <c r="H675" s="3" t="n">
        <v>16</v>
      </c>
      <c r="I675" s="3">
        <f>H675-G675</f>
        <v/>
      </c>
      <c r="J675" s="4">
        <f>IF(G675=0,"",(H675-G675)/G675)</f>
        <v/>
      </c>
      <c r="K675" s="4">
        <f>IF(G675=0,"",(H675-G675*0.891738)/(G675*0.891738))</f>
        <v/>
      </c>
      <c r="L675" s="3" t="n">
        <v>-10</v>
      </c>
      <c r="M675" s="3" t="n">
        <v>0</v>
      </c>
      <c r="N675" s="3" t="n">
        <v>-2</v>
      </c>
      <c r="O675" s="3" t="n">
        <v>0</v>
      </c>
      <c r="P675" s="3" t="n">
        <v>0</v>
      </c>
      <c r="Q675" s="3">
        <f>SUM(L675:P675)-I675</f>
        <v/>
      </c>
    </row>
    <row r="676">
      <c r="A676" s="2" t="inlineStr">
        <is>
          <t>samson-ryan</t>
        </is>
      </c>
      <c r="B676" s="2" t="inlineStr">
        <is>
          <t>Samson Ryan</t>
        </is>
      </c>
      <c r="C676" s="2" t="inlineStr">
        <is>
          <t>Richmond</t>
        </is>
      </c>
      <c r="D676" s="2" t="inlineStr">
        <is>
          <t>RUCK</t>
        </is>
      </c>
      <c r="E676" s="2" t="n">
        <v>26</v>
      </c>
      <c r="F676" s="2" t="inlineStr">
        <is>
          <t>National pick 42</t>
        </is>
      </c>
      <c r="G676" s="3" t="n">
        <v>349</v>
      </c>
      <c r="H676" s="3" t="n">
        <v>313</v>
      </c>
      <c r="I676" s="3">
        <f>H676-G676</f>
        <v/>
      </c>
      <c r="J676" s="4">
        <f>IF(G676=0,"",(H676-G676)/G676)</f>
        <v/>
      </c>
      <c r="K676" s="4">
        <f>IF(G676=0,"",(H676-G676*0.891738)/(G676*0.891738))</f>
        <v/>
      </c>
      <c r="L676" s="3" t="n">
        <v>2</v>
      </c>
      <c r="M676" s="3" t="n">
        <v>0</v>
      </c>
      <c r="N676" s="3" t="n">
        <v>-38</v>
      </c>
      <c r="O676" s="3" t="n">
        <v>0</v>
      </c>
      <c r="P676" s="3" t="n">
        <v>0</v>
      </c>
      <c r="Q676" s="3">
        <f>SUM(L676:P676)-I676</f>
        <v/>
      </c>
    </row>
    <row r="677">
      <c r="A677" s="2" t="inlineStr">
        <is>
          <t>james-jordon</t>
        </is>
      </c>
      <c r="B677" s="2" t="inlineStr">
        <is>
          <t>James Jordon</t>
        </is>
      </c>
      <c r="C677" s="2" t="inlineStr">
        <is>
          <t>Sydney</t>
        </is>
      </c>
      <c r="D677" s="2" t="inlineStr">
        <is>
          <t>MID</t>
        </is>
      </c>
      <c r="E677" s="2" t="n">
        <v>26</v>
      </c>
      <c r="F677" s="2" t="inlineStr">
        <is>
          <t>National pick 33</t>
        </is>
      </c>
      <c r="G677" s="3" t="n">
        <v>145</v>
      </c>
      <c r="H677" s="3" t="n">
        <v>128</v>
      </c>
      <c r="I677" s="3">
        <f>H677-G677</f>
        <v/>
      </c>
      <c r="J677" s="4">
        <f>IF(G677=0,"",(H677-G677)/G677)</f>
        <v/>
      </c>
      <c r="K677" s="4">
        <f>IF(G677=0,"",(H677-G677*0.891738)/(G677*0.891738))</f>
        <v/>
      </c>
      <c r="L677" s="3" t="n">
        <v>-2</v>
      </c>
      <c r="M677" s="3" t="n">
        <v>0</v>
      </c>
      <c r="N677" s="3" t="n">
        <v>-15</v>
      </c>
      <c r="O677" s="3" t="n">
        <v>0</v>
      </c>
      <c r="P677" s="3" t="n">
        <v>0</v>
      </c>
      <c r="Q677" s="3">
        <f>SUM(L677:P677)-I677</f>
        <v/>
      </c>
    </row>
    <row r="678">
      <c r="A678" s="2" t="inlineStr">
        <is>
          <t>cameron-zurhaar</t>
        </is>
      </c>
      <c r="B678" s="2" t="inlineStr">
        <is>
          <t>Cameron Zurhaar</t>
        </is>
      </c>
      <c r="C678" s="2" t="inlineStr">
        <is>
          <t>North Melbourne</t>
        </is>
      </c>
      <c r="D678" s="2" t="inlineStr">
        <is>
          <t>SF</t>
        </is>
      </c>
      <c r="E678" s="2" t="n">
        <v>28</v>
      </c>
      <c r="F678" s="2" t="inlineStr">
        <is>
          <t>Rookie pick 9</t>
        </is>
      </c>
      <c r="G678" s="3" t="n">
        <v>94</v>
      </c>
      <c r="H678" s="3" t="n">
        <v>82</v>
      </c>
      <c r="I678" s="3">
        <f>H678-G678</f>
        <v/>
      </c>
      <c r="J678" s="4">
        <f>IF(G678=0,"",(H678-G678)/G678)</f>
        <v/>
      </c>
      <c r="K678" s="4">
        <f>IF(G678=0,"",(H678-G678*0.891738)/(G678*0.891738))</f>
        <v/>
      </c>
      <c r="L678" s="3" t="n">
        <v>-2</v>
      </c>
      <c r="M678" s="3" t="n">
        <v>0</v>
      </c>
      <c r="N678" s="3" t="n">
        <v>-10</v>
      </c>
      <c r="O678" s="3" t="n">
        <v>0</v>
      </c>
      <c r="P678" s="3" t="n">
        <v>0</v>
      </c>
      <c r="Q678" s="3">
        <f>SUM(L678:P678)-I678</f>
        <v/>
      </c>
    </row>
    <row r="679">
      <c r="A679" s="2" t="inlineStr">
        <is>
          <t>max-ramsden</t>
        </is>
      </c>
      <c r="B679" s="2" t="inlineStr">
        <is>
          <t>Max Ramsden</t>
        </is>
      </c>
      <c r="C679" s="2" t="inlineStr">
        <is>
          <t>Hawthorn</t>
        </is>
      </c>
      <c r="D679" s="2" t="inlineStr">
        <is>
          <t>KPF</t>
        </is>
      </c>
      <c r="E679" s="2" t="n">
        <v>23</v>
      </c>
      <c r="F679" s="2" t="inlineStr">
        <is>
          <t>Mid-Season pick 6</t>
        </is>
      </c>
      <c r="G679" s="3" t="n">
        <v>178</v>
      </c>
      <c r="H679" s="3" t="n">
        <v>103</v>
      </c>
      <c r="I679" s="3">
        <f>H679-G679</f>
        <v/>
      </c>
      <c r="J679" s="4">
        <f>IF(G679=0,"",(H679-G679)/G679)</f>
        <v/>
      </c>
      <c r="K679" s="4">
        <f>IF(G679=0,"",(H679-G679*0.891738)/(G679*0.891738))</f>
        <v/>
      </c>
      <c r="L679" s="3" t="n">
        <v>-49</v>
      </c>
      <c r="M679" s="3" t="n">
        <v>0</v>
      </c>
      <c r="N679" s="3" t="n">
        <v>-9</v>
      </c>
      <c r="O679" s="3" t="n">
        <v>-7</v>
      </c>
      <c r="P679" s="3" t="n">
        <v>-10</v>
      </c>
      <c r="Q679" s="3">
        <f>SUM(L679:P679)-I679</f>
        <v/>
      </c>
    </row>
    <row r="680">
      <c r="A680" s="2" t="inlineStr">
        <is>
          <t>esava-ratugolea</t>
        </is>
      </c>
      <c r="B680" s="2" t="inlineStr">
        <is>
          <t>Esava Ratugolea</t>
        </is>
      </c>
      <c r="C680" s="2" t="inlineStr">
        <is>
          <t>Port Adelaide</t>
        </is>
      </c>
      <c r="D680" s="2" t="inlineStr">
        <is>
          <t>KPD</t>
        </is>
      </c>
      <c r="E680" s="2" t="n">
        <v>28</v>
      </c>
      <c r="F680" s="2" t="inlineStr">
        <is>
          <t>National pick 43</t>
        </is>
      </c>
      <c r="G680" s="3" t="n">
        <v>66</v>
      </c>
      <c r="H680" s="3" t="n">
        <v>58</v>
      </c>
      <c r="I680" s="3">
        <f>H680-G680</f>
        <v/>
      </c>
      <c r="J680" s="4">
        <f>IF(G680=0,"",(H680-G680)/G680)</f>
        <v/>
      </c>
      <c r="K680" s="4">
        <f>IF(G680=0,"",(H680-G680*0.891738)/(G680*0.891738))</f>
        <v/>
      </c>
      <c r="L680" s="3" t="n">
        <v>-1</v>
      </c>
      <c r="M680" s="3" t="n">
        <v>0</v>
      </c>
      <c r="N680" s="3" t="n">
        <v>-7</v>
      </c>
      <c r="O680" s="3" t="n">
        <v>0</v>
      </c>
      <c r="P680" s="3" t="n">
        <v>0</v>
      </c>
      <c r="Q680" s="3">
        <f>SUM(L680:P680)-I680</f>
        <v/>
      </c>
    </row>
    <row r="681">
      <c r="A681" s="2" t="inlineStr">
        <is>
          <t>harry-edwards</t>
        </is>
      </c>
      <c r="B681" s="2" t="inlineStr">
        <is>
          <t>Harry Edwards</t>
        </is>
      </c>
      <c r="C681" s="2" t="inlineStr">
        <is>
          <t>West Coast</t>
        </is>
      </c>
      <c r="D681" s="2" t="inlineStr">
        <is>
          <t>KPD</t>
        </is>
      </c>
      <c r="E681" s="2" t="n">
        <v>26</v>
      </c>
      <c r="F681" s="2" t="inlineStr">
        <is>
          <t>Rookie pick 12</t>
        </is>
      </c>
      <c r="G681" s="3" t="n">
        <v>103</v>
      </c>
      <c r="H681" s="3" t="n">
        <v>87</v>
      </c>
      <c r="I681" s="3">
        <f>H681-G681</f>
        <v/>
      </c>
      <c r="J681" s="4">
        <f>IF(G681=0,"",(H681-G681)/G681)</f>
        <v/>
      </c>
      <c r="K681" s="4">
        <f>IF(G681=0,"",(H681-G681*0.891738)/(G681*0.891738))</f>
        <v/>
      </c>
      <c r="L681" s="3" t="n">
        <v>-4</v>
      </c>
      <c r="M681" s="3" t="n">
        <v>0</v>
      </c>
      <c r="N681" s="3" t="n">
        <v>-12</v>
      </c>
      <c r="O681" s="3" t="n">
        <v>0</v>
      </c>
      <c r="P681" s="3" t="n">
        <v>0</v>
      </c>
      <c r="Q681" s="3">
        <f>SUM(L681:P681)-I681</f>
        <v/>
      </c>
    </row>
    <row r="682">
      <c r="A682" s="2" t="inlineStr">
        <is>
          <t>james-blanck</t>
        </is>
      </c>
      <c r="B682" s="2" t="inlineStr">
        <is>
          <t>James Blanck</t>
        </is>
      </c>
      <c r="C682" s="2" t="inlineStr">
        <is>
          <t>Hawthorn</t>
        </is>
      </c>
      <c r="D682" s="2" t="inlineStr">
        <is>
          <t>KPD</t>
        </is>
      </c>
      <c r="E682" s="2" t="n">
        <v>26</v>
      </c>
      <c r="F682" s="2" t="inlineStr">
        <is>
          <t>Mid-Season pick 14</t>
        </is>
      </c>
      <c r="G682" s="3" t="n">
        <v>60</v>
      </c>
      <c r="H682" s="3" t="n">
        <v>60</v>
      </c>
      <c r="I682" s="3">
        <f>H682-G682</f>
        <v/>
      </c>
      <c r="J682" s="4">
        <f>IF(G682=0,"",(H682-G682)/G682)</f>
        <v/>
      </c>
      <c r="K682" s="4">
        <f>IF(G682=0,"",(H682-G682*0.891738)/(G682*0.891738))</f>
        <v/>
      </c>
      <c r="L682" s="3" t="n">
        <v>0</v>
      </c>
      <c r="M682" s="3" t="n">
        <v>0</v>
      </c>
      <c r="N682" s="3" t="n">
        <v>0</v>
      </c>
      <c r="O682" s="3" t="n">
        <v>0</v>
      </c>
      <c r="P682" s="3" t="n">
        <v>0</v>
      </c>
      <c r="Q682" s="3">
        <f>SUM(L682:P682)-I682</f>
        <v/>
      </c>
    </row>
    <row r="683">
      <c r="A683" s="2" t="inlineStr">
        <is>
          <t>jack-carroll</t>
        </is>
      </c>
      <c r="B683" s="2" t="inlineStr">
        <is>
          <t>Jack Carroll</t>
        </is>
      </c>
      <c r="C683" s="2" t="inlineStr">
        <is>
          <t>St Kilda</t>
        </is>
      </c>
      <c r="D683" s="2" t="inlineStr">
        <is>
          <t>SD</t>
        </is>
      </c>
      <c r="E683" s="2" t="n">
        <v>24</v>
      </c>
      <c r="F683" s="2" t="inlineStr">
        <is>
          <t>National pick 43</t>
        </is>
      </c>
      <c r="G683" s="3" t="n">
        <v>84</v>
      </c>
      <c r="H683" s="3" t="n">
        <v>61</v>
      </c>
      <c r="I683" s="3">
        <f>H683-G683</f>
        <v/>
      </c>
      <c r="J683" s="4">
        <f>IF(G683=0,"",(H683-G683)/G683)</f>
        <v/>
      </c>
      <c r="K683" s="4">
        <f>IF(G683=0,"",(H683-G683*0.891738)/(G683*0.891738))</f>
        <v/>
      </c>
      <c r="L683" s="3" t="n">
        <v>-16</v>
      </c>
      <c r="M683" s="3" t="n">
        <v>0</v>
      </c>
      <c r="N683" s="3" t="n">
        <v>-7</v>
      </c>
      <c r="O683" s="3" t="n">
        <v>0</v>
      </c>
      <c r="P683" s="3" t="n">
        <v>0</v>
      </c>
      <c r="Q683" s="3">
        <f>SUM(L683:P683)-I683</f>
        <v/>
      </c>
    </row>
    <row r="684">
      <c r="A684" s="2" t="inlineStr">
        <is>
          <t>jackson-archer</t>
        </is>
      </c>
      <c r="B684" s="2" t="inlineStr">
        <is>
          <t>Jackson Archer</t>
        </is>
      </c>
      <c r="C684" s="2" t="inlineStr">
        <is>
          <t>North Melbourne</t>
        </is>
      </c>
      <c r="D684" s="2" t="inlineStr">
        <is>
          <t>SD</t>
        </is>
      </c>
      <c r="E684" s="2" t="n">
        <v>23</v>
      </c>
      <c r="F684" s="2" t="inlineStr">
        <is>
          <t>National pick 59</t>
        </is>
      </c>
      <c r="G684" s="3" t="n">
        <v>27</v>
      </c>
      <c r="H684" s="3" t="n">
        <v>23</v>
      </c>
      <c r="I684" s="3">
        <f>H684-G684</f>
        <v/>
      </c>
      <c r="J684" s="4">
        <f>IF(G684=0,"",(H684-G684)/G684)</f>
        <v/>
      </c>
      <c r="K684" s="4">
        <f>IF(G684=0,"",(H684-G684*0.891738)/(G684*0.891738))</f>
        <v/>
      </c>
      <c r="L684" s="3" t="n">
        <v>0</v>
      </c>
      <c r="M684" s="3" t="n">
        <v>0</v>
      </c>
      <c r="N684" s="3" t="n">
        <v>-4</v>
      </c>
      <c r="O684" s="3" t="n">
        <v>0</v>
      </c>
      <c r="P684" s="3" t="n">
        <v>0</v>
      </c>
      <c r="Q684" s="3">
        <f>SUM(L684:P684)-I684</f>
        <v/>
      </c>
    </row>
    <row r="685">
      <c r="A685" s="2" t="inlineStr">
        <is>
          <t>tim-membrey</t>
        </is>
      </c>
      <c r="B685" s="2" t="inlineStr">
        <is>
          <t>Tim Membrey</t>
        </is>
      </c>
      <c r="C685" s="2" t="inlineStr">
        <is>
          <t>St Kilda</t>
        </is>
      </c>
      <c r="D685" s="2" t="inlineStr">
        <is>
          <t>KPF</t>
        </is>
      </c>
      <c r="E685" s="2" t="n">
        <v>32</v>
      </c>
      <c r="F685" s="2" t="inlineStr">
        <is>
          <t>National pick 49</t>
        </is>
      </c>
      <c r="G685" s="3" t="n">
        <v>78</v>
      </c>
      <c r="H685" s="3" t="n">
        <v>68</v>
      </c>
      <c r="I685" s="3">
        <f>H685-G685</f>
        <v/>
      </c>
      <c r="J685" s="4">
        <f>IF(G685=0,"",(H685-G685)/G685)</f>
        <v/>
      </c>
      <c r="K685" s="4">
        <f>IF(G685=0,"",(H685-G685*0.891738)/(G685*0.891738))</f>
        <v/>
      </c>
      <c r="L685" s="3" t="n">
        <v>-1</v>
      </c>
      <c r="M685" s="3" t="n">
        <v>0</v>
      </c>
      <c r="N685" s="3" t="n">
        <v>-9</v>
      </c>
      <c r="O685" s="3" t="n">
        <v>0</v>
      </c>
      <c r="P685" s="3" t="n">
        <v>0</v>
      </c>
      <c r="Q685" s="3">
        <f>SUM(L685:P685)-I685</f>
        <v/>
      </c>
    </row>
    <row r="686">
      <c r="A686" s="2" t="inlineStr">
        <is>
          <t>blake-acres</t>
        </is>
      </c>
      <c r="B686" s="2" t="inlineStr">
        <is>
          <t>Blake Acres</t>
        </is>
      </c>
      <c r="C686" s="2" t="inlineStr">
        <is>
          <t>Carlton</t>
        </is>
      </c>
      <c r="D686" s="2" t="inlineStr">
        <is>
          <t>MID</t>
        </is>
      </c>
      <c r="E686" s="2" t="n">
        <v>31</v>
      </c>
      <c r="F686" s="2" t="inlineStr">
        <is>
          <t>National pick 19</t>
        </is>
      </c>
      <c r="G686" s="3" t="n">
        <v>81</v>
      </c>
      <c r="H686" s="3" t="n">
        <v>71</v>
      </c>
      <c r="I686" s="3">
        <f>H686-G686</f>
        <v/>
      </c>
      <c r="J686" s="4">
        <f>IF(G686=0,"",(H686-G686)/G686)</f>
        <v/>
      </c>
      <c r="K686" s="4">
        <f>IF(G686=0,"",(H686-G686*0.891738)/(G686*0.891738))</f>
        <v/>
      </c>
      <c r="L686" s="3" t="n">
        <v>-1</v>
      </c>
      <c r="M686" s="3" t="n">
        <v>0</v>
      </c>
      <c r="N686" s="3" t="n">
        <v>-9</v>
      </c>
      <c r="O686" s="3" t="n">
        <v>0</v>
      </c>
      <c r="P686" s="3" t="n">
        <v>0</v>
      </c>
      <c r="Q686" s="3">
        <f>SUM(L686:P686)-I686</f>
        <v/>
      </c>
    </row>
    <row r="687">
      <c r="A687" s="2" t="inlineStr">
        <is>
          <t>jackson-macrae</t>
        </is>
      </c>
      <c r="B687" s="2" t="inlineStr">
        <is>
          <t>Jackson Macrae</t>
        </is>
      </c>
      <c r="C687" s="2" t="inlineStr">
        <is>
          <t>St Kilda</t>
        </is>
      </c>
      <c r="D687" s="2" t="inlineStr">
        <is>
          <t>MID</t>
        </is>
      </c>
      <c r="E687" s="2" t="n">
        <v>32</v>
      </c>
      <c r="F687" s="2" t="inlineStr">
        <is>
          <t>National pick 8</t>
        </is>
      </c>
      <c r="G687" s="3" t="n">
        <v>104</v>
      </c>
      <c r="H687" s="3" t="n">
        <v>101</v>
      </c>
      <c r="I687" s="3">
        <f>H687-G687</f>
        <v/>
      </c>
      <c r="J687" s="4">
        <f>IF(G687=0,"",(H687-G687)/G687)</f>
        <v/>
      </c>
      <c r="K687" s="4">
        <f>IF(G687=0,"",(H687-G687*0.891738)/(G687*0.891738))</f>
        <v/>
      </c>
      <c r="L687" s="3" t="n">
        <v>0</v>
      </c>
      <c r="M687" s="3" t="n">
        <v>0</v>
      </c>
      <c r="N687" s="3" t="n">
        <v>-3</v>
      </c>
      <c r="O687" s="3" t="n">
        <v>0</v>
      </c>
      <c r="P687" s="3" t="n">
        <v>0</v>
      </c>
      <c r="Q687" s="3">
        <f>SUM(L687:P687)-I687</f>
        <v/>
      </c>
    </row>
    <row r="688">
      <c r="A688" s="2" t="inlineStr">
        <is>
          <t>michael-frederick</t>
        </is>
      </c>
      <c r="B688" s="2" t="inlineStr">
        <is>
          <t>Michael Frederick</t>
        </is>
      </c>
      <c r="C688" s="2" t="inlineStr">
        <is>
          <t>Fremantle</t>
        </is>
      </c>
      <c r="D688" s="2" t="inlineStr">
        <is>
          <t>SF</t>
        </is>
      </c>
      <c r="E688" s="2" t="n">
        <v>26</v>
      </c>
      <c r="F688" s="2" t="inlineStr">
        <is>
          <t>National pick 60</t>
        </is>
      </c>
      <c r="G688" s="3" t="n">
        <v>70</v>
      </c>
      <c r="H688" s="3" t="n">
        <v>62</v>
      </c>
      <c r="I688" s="3">
        <f>H688-G688</f>
        <v/>
      </c>
      <c r="J688" s="4">
        <f>IF(G688=0,"",(H688-G688)/G688)</f>
        <v/>
      </c>
      <c r="K688" s="4">
        <f>IF(G688=0,"",(H688-G688*0.891738)/(G688*0.891738))</f>
        <v/>
      </c>
      <c r="L688" s="3" t="n">
        <v>-1</v>
      </c>
      <c r="M688" s="3" t="n">
        <v>0</v>
      </c>
      <c r="N688" s="3" t="n">
        <v>-7</v>
      </c>
      <c r="O688" s="3" t="n">
        <v>0</v>
      </c>
      <c r="P688" s="3" t="n">
        <v>0</v>
      </c>
      <c r="Q688" s="3">
        <f>SUM(L688:P688)-I688</f>
        <v/>
      </c>
    </row>
    <row r="689">
      <c r="A689" s="2" t="inlineStr">
        <is>
          <t>lachlan-bramble</t>
        </is>
      </c>
      <c r="B689" s="2" t="inlineStr">
        <is>
          <t>Lachlan Bramble</t>
        </is>
      </c>
      <c r="C689" s="2" t="inlineStr">
        <is>
          <t>Western Bulldogs</t>
        </is>
      </c>
      <c r="D689" s="2" t="inlineStr">
        <is>
          <t>SF</t>
        </is>
      </c>
      <c r="E689" s="2" t="n">
        <v>28</v>
      </c>
      <c r="F689" s="2" t="inlineStr">
        <is>
          <t>SSP (pool)</t>
        </is>
      </c>
      <c r="G689" s="3" t="n">
        <v>73</v>
      </c>
      <c r="H689" s="3" t="n">
        <v>64</v>
      </c>
      <c r="I689" s="3">
        <f>H689-G689</f>
        <v/>
      </c>
      <c r="J689" s="4">
        <f>IF(G689=0,"",(H689-G689)/G689)</f>
        <v/>
      </c>
      <c r="K689" s="4">
        <f>IF(G689=0,"",(H689-G689*0.891738)/(G689*0.891738))</f>
        <v/>
      </c>
      <c r="L689" s="3" t="n">
        <v>-1</v>
      </c>
      <c r="M689" s="3" t="n">
        <v>0</v>
      </c>
      <c r="N689" s="3" t="n">
        <v>-8</v>
      </c>
      <c r="O689" s="3" t="n">
        <v>0</v>
      </c>
      <c r="P689" s="3" t="n">
        <v>0</v>
      </c>
      <c r="Q689" s="3">
        <f>SUM(L689:P689)-I689</f>
        <v/>
      </c>
    </row>
    <row r="690">
      <c r="A690" s="2" t="inlineStr">
        <is>
          <t>maurice-rioli-1</t>
        </is>
      </c>
      <c r="B690" s="2" t="inlineStr">
        <is>
          <t>Maurice Rioli</t>
        </is>
      </c>
      <c r="C690" s="2" t="inlineStr">
        <is>
          <t>Richmond</t>
        </is>
      </c>
      <c r="D690" s="2" t="inlineStr">
        <is>
          <t>SF</t>
        </is>
      </c>
      <c r="E690" s="2" t="n">
        <v>24</v>
      </c>
      <c r="F690" s="2" t="inlineStr">
        <is>
          <t>National pick 53</t>
        </is>
      </c>
      <c r="G690" s="3" t="n">
        <v>28</v>
      </c>
      <c r="H690" s="3" t="n">
        <v>22</v>
      </c>
      <c r="I690" s="3">
        <f>H690-G690</f>
        <v/>
      </c>
      <c r="J690" s="4">
        <f>IF(G690=0,"",(H690-G690)/G690)</f>
        <v/>
      </c>
      <c r="K690" s="4">
        <f>IF(G690=0,"",(H690-G690*0.891738)/(G690*0.891738))</f>
        <v/>
      </c>
      <c r="L690" s="3" t="n">
        <v>-3</v>
      </c>
      <c r="M690" s="3" t="n">
        <v>0</v>
      </c>
      <c r="N690" s="3" t="n">
        <v>-3</v>
      </c>
      <c r="O690" s="3" t="n">
        <v>0</v>
      </c>
      <c r="P690" s="3" t="n">
        <v>0</v>
      </c>
      <c r="Q690" s="3">
        <f>SUM(L690:P690)-I690</f>
        <v/>
      </c>
    </row>
    <row r="691">
      <c r="A691" s="2" t="inlineStr">
        <is>
          <t>liam-mcmahon</t>
        </is>
      </c>
      <c r="B691" s="2" t="inlineStr">
        <is>
          <t>Liam McMahon</t>
        </is>
      </c>
      <c r="C691" s="2" t="inlineStr">
        <is>
          <t>Essendon</t>
        </is>
      </c>
      <c r="D691" s="2" t="inlineStr">
        <is>
          <t>KPF</t>
        </is>
      </c>
      <c r="E691" s="2" t="n">
        <v>24</v>
      </c>
      <c r="F691" s="2" t="inlineStr">
        <is>
          <t>National pick 33</t>
        </is>
      </c>
      <c r="G691" s="3" t="n">
        <v>149</v>
      </c>
      <c r="H691" s="3" t="n">
        <v>123</v>
      </c>
      <c r="I691" s="3">
        <f>H691-G691</f>
        <v/>
      </c>
      <c r="J691" s="4">
        <f>IF(G691=0,"",(H691-G691)/G691)</f>
        <v/>
      </c>
      <c r="K691" s="4">
        <f>IF(G691=0,"",(H691-G691*0.891738)/(G691*0.891738))</f>
        <v/>
      </c>
      <c r="L691" s="3" t="n">
        <v>-13</v>
      </c>
      <c r="M691" s="3" t="n">
        <v>0</v>
      </c>
      <c r="N691" s="3" t="n">
        <v>-13</v>
      </c>
      <c r="O691" s="3" t="n">
        <v>0</v>
      </c>
      <c r="P691" s="3" t="n">
        <v>0</v>
      </c>
      <c r="Q691" s="3">
        <f>SUM(L691:P691)-I691</f>
        <v/>
      </c>
    </row>
    <row r="692">
      <c r="A692" s="2" t="inlineStr">
        <is>
          <t>nick-bryan</t>
        </is>
      </c>
      <c r="B692" s="2" t="inlineStr">
        <is>
          <t>Nick Bryan</t>
        </is>
      </c>
      <c r="C692" s="2" t="inlineStr">
        <is>
          <t>Essendon</t>
        </is>
      </c>
      <c r="D692" s="2" t="inlineStr">
        <is>
          <t>RUCK</t>
        </is>
      </c>
      <c r="E692" s="2" t="n">
        <v>25</v>
      </c>
      <c r="F692" s="2" t="inlineStr">
        <is>
          <t>National pick 37</t>
        </is>
      </c>
      <c r="G692" s="3" t="n">
        <v>756</v>
      </c>
      <c r="H692" s="3" t="n">
        <v>658</v>
      </c>
      <c r="I692" s="3">
        <f>H692-G692</f>
        <v/>
      </c>
      <c r="J692" s="4">
        <f>IF(G692=0,"",(H692-G692)/G692)</f>
        <v/>
      </c>
      <c r="K692" s="4">
        <f>IF(G692=0,"",(H692-G692*0.891738)/(G692*0.891738))</f>
        <v/>
      </c>
      <c r="L692" s="3" t="n">
        <v>-19</v>
      </c>
      <c r="M692" s="3" t="n">
        <v>0</v>
      </c>
      <c r="N692" s="3" t="n">
        <v>-79</v>
      </c>
      <c r="O692" s="3" t="n">
        <v>0</v>
      </c>
      <c r="P692" s="3" t="n">
        <v>0</v>
      </c>
      <c r="Q692" s="3">
        <f>SUM(L692:P692)-I692</f>
        <v/>
      </c>
    </row>
    <row r="693">
      <c r="A693" s="2" t="inlineStr">
        <is>
          <t>jack-higgins</t>
        </is>
      </c>
      <c r="B693" s="2" t="inlineStr">
        <is>
          <t>Jack Higgins</t>
        </is>
      </c>
      <c r="C693" s="2" t="inlineStr">
        <is>
          <t>St Kilda</t>
        </is>
      </c>
      <c r="D693" s="2" t="inlineStr">
        <is>
          <t>SF</t>
        </is>
      </c>
      <c r="E693" s="2" t="n">
        <v>27</v>
      </c>
      <c r="F693" s="2" t="inlineStr">
        <is>
          <t>National pick 17</t>
        </is>
      </c>
      <c r="G693" s="3" t="n">
        <v>55</v>
      </c>
      <c r="H693" s="3" t="n">
        <v>48</v>
      </c>
      <c r="I693" s="3">
        <f>H693-G693</f>
        <v/>
      </c>
      <c r="J693" s="4">
        <f>IF(G693=0,"",(H693-G693)/G693)</f>
        <v/>
      </c>
      <c r="K693" s="4">
        <f>IF(G693=0,"",(H693-G693*0.891738)/(G693*0.891738))</f>
        <v/>
      </c>
      <c r="L693" s="3" t="n">
        <v>-1</v>
      </c>
      <c r="M693" s="3" t="n">
        <v>0</v>
      </c>
      <c r="N693" s="3" t="n">
        <v>-6</v>
      </c>
      <c r="O693" s="3" t="n">
        <v>0</v>
      </c>
      <c r="P693" s="3" t="n">
        <v>0</v>
      </c>
      <c r="Q693" s="3">
        <f>SUM(L693:P693)-I693</f>
        <v/>
      </c>
    </row>
    <row r="694">
      <c r="A694" s="2" t="inlineStr">
        <is>
          <t>joel-amartey</t>
        </is>
      </c>
      <c r="B694" s="2" t="inlineStr">
        <is>
          <t>Joel Amartey</t>
        </is>
      </c>
      <c r="C694" s="2" t="inlineStr">
        <is>
          <t>Sydney</t>
        </is>
      </c>
      <c r="D694" s="2" t="inlineStr">
        <is>
          <t>KPF</t>
        </is>
      </c>
      <c r="E694" s="2" t="n">
        <v>27</v>
      </c>
      <c r="F694" s="2" t="inlineStr">
        <is>
          <t>Rookie pick 17</t>
        </is>
      </c>
      <c r="G694" s="3" t="n">
        <v>32</v>
      </c>
      <c r="H694" s="3" t="n">
        <v>29</v>
      </c>
      <c r="I694" s="3">
        <f>H694-G694</f>
        <v/>
      </c>
      <c r="J694" s="4">
        <f>IF(G694=0,"",(H694-G694)/G694)</f>
        <v/>
      </c>
      <c r="K694" s="4">
        <f>IF(G694=0,"",(H694-G694*0.891738)/(G694*0.891738))</f>
        <v/>
      </c>
      <c r="L694" s="3" t="n">
        <v>1</v>
      </c>
      <c r="M694" s="3" t="n">
        <v>0</v>
      </c>
      <c r="N694" s="3" t="n">
        <v>-4</v>
      </c>
      <c r="O694" s="3" t="n">
        <v>0</v>
      </c>
      <c r="P694" s="3" t="n">
        <v>0</v>
      </c>
      <c r="Q694" s="3">
        <f>SUM(L694:P694)-I694</f>
        <v/>
      </c>
    </row>
    <row r="695">
      <c r="A695" s="2" t="inlineStr">
        <is>
          <t>griffin-logue</t>
        </is>
      </c>
      <c r="B695" s="2" t="inlineStr">
        <is>
          <t>Griffin Logue</t>
        </is>
      </c>
      <c r="C695" s="2" t="inlineStr">
        <is>
          <t>North Melbourne</t>
        </is>
      </c>
      <c r="D695" s="2" t="inlineStr">
        <is>
          <t>KPD</t>
        </is>
      </c>
      <c r="E695" s="2" t="n">
        <v>28</v>
      </c>
      <c r="F695" s="2" t="inlineStr">
        <is>
          <t>National pick 8</t>
        </is>
      </c>
      <c r="G695" s="3" t="n">
        <v>76</v>
      </c>
      <c r="H695" s="3" t="n">
        <v>67</v>
      </c>
      <c r="I695" s="3">
        <f>H695-G695</f>
        <v/>
      </c>
      <c r="J695" s="4">
        <f>IF(G695=0,"",(H695-G695)/G695)</f>
        <v/>
      </c>
      <c r="K695" s="4">
        <f>IF(G695=0,"",(H695-G695*0.891738)/(G695*0.891738))</f>
        <v/>
      </c>
      <c r="L695" s="3" t="n">
        <v>-1</v>
      </c>
      <c r="M695" s="3" t="n">
        <v>0</v>
      </c>
      <c r="N695" s="3" t="n">
        <v>-8</v>
      </c>
      <c r="O695" s="3" t="n">
        <v>0</v>
      </c>
      <c r="P695" s="3" t="n">
        <v>0</v>
      </c>
      <c r="Q695" s="3">
        <f>SUM(L695:P695)-I695</f>
        <v/>
      </c>
    </row>
    <row r="696">
      <c r="A696" s="2" t="inlineStr">
        <is>
          <t>rhylee-west</t>
        </is>
      </c>
      <c r="B696" s="2" t="inlineStr">
        <is>
          <t>Rhylee West</t>
        </is>
      </c>
      <c r="C696" s="2" t="inlineStr">
        <is>
          <t>Western Bulldogs</t>
        </is>
      </c>
      <c r="D696" s="2" t="inlineStr">
        <is>
          <t>SF</t>
        </is>
      </c>
      <c r="E696" s="2" t="n">
        <v>26</v>
      </c>
      <c r="F696" s="2" t="inlineStr">
        <is>
          <t>National pick 26</t>
        </is>
      </c>
      <c r="G696" s="3" t="n">
        <v>101</v>
      </c>
      <c r="H696" s="3" t="n">
        <v>88</v>
      </c>
      <c r="I696" s="3">
        <f>H696-G696</f>
        <v/>
      </c>
      <c r="J696" s="4">
        <f>IF(G696=0,"",(H696-G696)/G696)</f>
        <v/>
      </c>
      <c r="K696" s="4">
        <f>IF(G696=0,"",(H696-G696*0.891738)/(G696*0.891738))</f>
        <v/>
      </c>
      <c r="L696" s="3" t="n">
        <v>-1</v>
      </c>
      <c r="M696" s="3" t="n">
        <v>0</v>
      </c>
      <c r="N696" s="3" t="n">
        <v>-12</v>
      </c>
      <c r="O696" s="3" t="n">
        <v>0</v>
      </c>
      <c r="P696" s="3" t="n">
        <v>0</v>
      </c>
      <c r="Q696" s="3">
        <f>SUM(L696:P696)-I696</f>
        <v/>
      </c>
    </row>
    <row r="697">
      <c r="A697" s="2" t="inlineStr">
        <is>
          <t>tyler-brockman</t>
        </is>
      </c>
      <c r="B697" s="2" t="inlineStr">
        <is>
          <t>Tyler Brockman</t>
        </is>
      </c>
      <c r="C697" s="2" t="inlineStr">
        <is>
          <t>West Coast</t>
        </is>
      </c>
      <c r="D697" s="2" t="inlineStr">
        <is>
          <t>SF</t>
        </is>
      </c>
      <c r="E697" s="2" t="n">
        <v>24</v>
      </c>
      <c r="F697" s="2" t="inlineStr">
        <is>
          <t>National pick 48</t>
        </is>
      </c>
      <c r="G697" s="3" t="n">
        <v>52</v>
      </c>
      <c r="H697" s="3" t="n">
        <v>45</v>
      </c>
      <c r="I697" s="3">
        <f>H697-G697</f>
        <v/>
      </c>
      <c r="J697" s="4">
        <f>IF(G697=0,"",(H697-G697)/G697)</f>
        <v/>
      </c>
      <c r="K697" s="4">
        <f>IF(G697=0,"",(H697-G697*0.891738)/(G697*0.891738))</f>
        <v/>
      </c>
      <c r="L697" s="3" t="n">
        <v>-2</v>
      </c>
      <c r="M697" s="3" t="n">
        <v>0</v>
      </c>
      <c r="N697" s="3" t="n">
        <v>-5</v>
      </c>
      <c r="O697" s="3" t="n">
        <v>0</v>
      </c>
      <c r="P697" s="3" t="n">
        <v>0</v>
      </c>
      <c r="Q697" s="3">
        <f>SUM(L697:P697)-I697</f>
        <v/>
      </c>
    </row>
    <row r="698">
      <c r="A698" s="2" t="inlineStr">
        <is>
          <t>ollie-lord</t>
        </is>
      </c>
      <c r="B698" s="2" t="inlineStr">
        <is>
          <t>Ollie Lord</t>
        </is>
      </c>
      <c r="C698" s="2" t="inlineStr">
        <is>
          <t>Port Adelaide</t>
        </is>
      </c>
      <c r="D698" s="2" t="inlineStr">
        <is>
          <t>KPF</t>
        </is>
      </c>
      <c r="E698" s="2" t="n">
        <v>24</v>
      </c>
      <c r="F698" s="2" t="inlineStr">
        <is>
          <t>National pick 51</t>
        </is>
      </c>
      <c r="G698" s="3" t="n">
        <v>117</v>
      </c>
      <c r="H698" s="3" t="n">
        <v>95</v>
      </c>
      <c r="I698" s="3">
        <f>H698-G698</f>
        <v/>
      </c>
      <c r="J698" s="4">
        <f>IF(G698=0,"",(H698-G698)/G698)</f>
        <v/>
      </c>
      <c r="K698" s="4">
        <f>IF(G698=0,"",(H698-G698*0.891738)/(G698*0.891738))</f>
        <v/>
      </c>
      <c r="L698" s="3" t="n">
        <v>-11</v>
      </c>
      <c r="M698" s="3" t="n">
        <v>0</v>
      </c>
      <c r="N698" s="3" t="n">
        <v>-11</v>
      </c>
      <c r="O698" s="3" t="n">
        <v>0</v>
      </c>
      <c r="P698" s="3" t="n">
        <v>0</v>
      </c>
      <c r="Q698" s="3">
        <f>SUM(L698:P698)-I698</f>
        <v/>
      </c>
    </row>
    <row r="699">
      <c r="A699" s="2" t="inlineStr">
        <is>
          <t>lachlan-mcneil</t>
        </is>
      </c>
      <c r="B699" s="2" t="inlineStr">
        <is>
          <t>Lachlan McNeil</t>
        </is>
      </c>
      <c r="C699" s="2" t="inlineStr">
        <is>
          <t>Western Bulldogs</t>
        </is>
      </c>
      <c r="D699" s="2" t="inlineStr">
        <is>
          <t>SF</t>
        </is>
      </c>
      <c r="E699" s="2" t="n">
        <v>25</v>
      </c>
      <c r="F699" s="2" t="inlineStr">
        <is>
          <t>Rookie pick 6</t>
        </is>
      </c>
      <c r="G699" s="3" t="n">
        <v>21</v>
      </c>
      <c r="H699" s="3" t="n">
        <v>21</v>
      </c>
      <c r="I699" s="3">
        <f>H699-G699</f>
        <v/>
      </c>
      <c r="J699" s="4">
        <f>IF(G699=0,"",(H699-G699)/G699)</f>
        <v/>
      </c>
      <c r="K699" s="4">
        <f>IF(G699=0,"",(H699-G699*0.891738)/(G699*0.891738))</f>
        <v/>
      </c>
      <c r="L699" s="3" t="n">
        <v>0</v>
      </c>
      <c r="M699" s="3" t="n">
        <v>0</v>
      </c>
      <c r="N699" s="3" t="n">
        <v>0</v>
      </c>
      <c r="O699" s="3" t="n">
        <v>0</v>
      </c>
      <c r="P699" s="3" t="n">
        <v>0</v>
      </c>
      <c r="Q699" s="3">
        <f>SUM(L699:P699)-I699</f>
        <v/>
      </c>
    </row>
    <row r="700">
      <c r="A700" s="2" t="inlineStr">
        <is>
          <t>rhyan-mansell</t>
        </is>
      </c>
      <c r="B700" s="2" t="inlineStr">
        <is>
          <t>Rhyan Mansell</t>
        </is>
      </c>
      <c r="C700" s="2" t="inlineStr">
        <is>
          <t>Richmond</t>
        </is>
      </c>
      <c r="D700" s="2" t="inlineStr">
        <is>
          <t>SF</t>
        </is>
      </c>
      <c r="E700" s="2" t="n">
        <v>26</v>
      </c>
      <c r="F700" s="2" t="inlineStr">
        <is>
          <t>SSP (pool)</t>
        </is>
      </c>
      <c r="G700" s="3" t="n">
        <v>51</v>
      </c>
      <c r="H700" s="3" t="n">
        <v>45</v>
      </c>
      <c r="I700" s="3">
        <f>H700-G700</f>
        <v/>
      </c>
      <c r="J700" s="4">
        <f>IF(G700=0,"",(H700-G700)/G700)</f>
        <v/>
      </c>
      <c r="K700" s="4">
        <f>IF(G700=0,"",(H700-G700*0.891738)/(G700*0.891738))</f>
        <v/>
      </c>
      <c r="L700" s="3" t="n">
        <v>-1</v>
      </c>
      <c r="M700" s="3" t="n">
        <v>0</v>
      </c>
      <c r="N700" s="3" t="n">
        <v>-5</v>
      </c>
      <c r="O700" s="3" t="n">
        <v>0</v>
      </c>
      <c r="P700" s="3" t="n">
        <v>0</v>
      </c>
      <c r="Q700" s="3">
        <f>SUM(L700:P700)-I700</f>
        <v/>
      </c>
    </row>
    <row r="701">
      <c r="A701" s="2" t="inlineStr">
        <is>
          <t>jordan-boyd</t>
        </is>
      </c>
      <c r="B701" s="2" t="inlineStr">
        <is>
          <t>Jordan Boyd</t>
        </is>
      </c>
      <c r="C701" s="2" t="inlineStr">
        <is>
          <t>Carlton</t>
        </is>
      </c>
      <c r="D701" s="2" t="inlineStr">
        <is>
          <t>SD</t>
        </is>
      </c>
      <c r="E701" s="2" t="n">
        <v>28</v>
      </c>
      <c r="F701" s="2" t="inlineStr">
        <is>
          <t>Mid-Season pick 17</t>
        </is>
      </c>
      <c r="G701" s="3" t="n">
        <v>37</v>
      </c>
      <c r="H701" s="3" t="n">
        <v>37</v>
      </c>
      <c r="I701" s="3">
        <f>H701-G701</f>
        <v/>
      </c>
      <c r="J701" s="4">
        <f>IF(G701=0,"",(H701-G701)/G701)</f>
        <v/>
      </c>
      <c r="K701" s="4">
        <f>IF(G701=0,"",(H701-G701*0.891738)/(G701*0.891738))</f>
        <v/>
      </c>
      <c r="L701" s="3" t="n">
        <v>0</v>
      </c>
      <c r="M701" s="3" t="n">
        <v>0</v>
      </c>
      <c r="N701" s="3" t="n">
        <v>0</v>
      </c>
      <c r="O701" s="3" t="n">
        <v>0</v>
      </c>
      <c r="P701" s="3" t="n">
        <v>0</v>
      </c>
      <c r="Q701" s="3">
        <f>SUM(L701:P701)-I701</f>
        <v/>
      </c>
    </row>
    <row r="702">
      <c r="A702" s="2" t="inlineStr">
        <is>
          <t>nick-vlastuin</t>
        </is>
      </c>
      <c r="B702" s="2" t="inlineStr">
        <is>
          <t>Nick Vlastuin</t>
        </is>
      </c>
      <c r="C702" s="2" t="inlineStr">
        <is>
          <t>Richmond</t>
        </is>
      </c>
      <c r="D702" s="2" t="inlineStr">
        <is>
          <t>SD</t>
        </is>
      </c>
      <c r="E702" s="2" t="n">
        <v>32</v>
      </c>
      <c r="F702" s="2" t="inlineStr">
        <is>
          <t>National pick 12</t>
        </is>
      </c>
      <c r="G702" s="3" t="n">
        <v>55</v>
      </c>
      <c r="H702" s="3" t="n">
        <v>53</v>
      </c>
      <c r="I702" s="3">
        <f>H702-G702</f>
        <v/>
      </c>
      <c r="J702" s="4">
        <f>IF(G702=0,"",(H702-G702)/G702)</f>
        <v/>
      </c>
      <c r="K702" s="4">
        <f>IF(G702=0,"",(H702-G702*0.891738)/(G702*0.891738))</f>
        <v/>
      </c>
      <c r="L702" s="3" t="n">
        <v>0</v>
      </c>
      <c r="M702" s="3" t="n">
        <v>0</v>
      </c>
      <c r="N702" s="3" t="n">
        <v>-2</v>
      </c>
      <c r="O702" s="3" t="n">
        <v>0</v>
      </c>
      <c r="P702" s="3" t="n">
        <v>0</v>
      </c>
      <c r="Q702" s="3">
        <f>SUM(L702:P702)-I702</f>
        <v/>
      </c>
    </row>
    <row r="703">
      <c r="A703" s="2" t="inlineStr">
        <is>
          <t>ryan-lester</t>
        </is>
      </c>
      <c r="B703" s="2" t="inlineStr">
        <is>
          <t>Ryan Lester</t>
        </is>
      </c>
      <c r="C703" s="2" t="inlineStr">
        <is>
          <t>Brisbane</t>
        </is>
      </c>
      <c r="D703" s="2" t="inlineStr">
        <is>
          <t>SD</t>
        </is>
      </c>
      <c r="E703" s="2" t="n">
        <v>34</v>
      </c>
      <c r="F703" s="2" t="inlineStr">
        <is>
          <t>National pick 30</t>
        </is>
      </c>
      <c r="G703" s="3" t="n">
        <v>48</v>
      </c>
      <c r="H703" s="3" t="n">
        <v>43</v>
      </c>
      <c r="I703" s="3">
        <f>H703-G703</f>
        <v/>
      </c>
      <c r="J703" s="4">
        <f>IF(G703=0,"",(H703-G703)/G703)</f>
        <v/>
      </c>
      <c r="K703" s="4">
        <f>IF(G703=0,"",(H703-G703*0.891738)/(G703*0.891738))</f>
        <v/>
      </c>
      <c r="L703" s="3" t="n">
        <v>0</v>
      </c>
      <c r="M703" s="3" t="n">
        <v>0</v>
      </c>
      <c r="N703" s="3" t="n">
        <v>-5</v>
      </c>
      <c r="O703" s="3" t="n">
        <v>0</v>
      </c>
      <c r="P703" s="3" t="n">
        <v>0</v>
      </c>
      <c r="Q703" s="3">
        <f>SUM(L703:P703)-I703</f>
        <v/>
      </c>
    </row>
    <row r="704">
      <c r="A704" s="2" t="inlineStr">
        <is>
          <t>tom-cole</t>
        </is>
      </c>
      <c r="B704" s="2" t="inlineStr">
        <is>
          <t>Tom Cole</t>
        </is>
      </c>
      <c r="C704" s="2" t="inlineStr">
        <is>
          <t>West Coast</t>
        </is>
      </c>
      <c r="D704" s="2" t="inlineStr">
        <is>
          <t>SD</t>
        </is>
      </c>
      <c r="E704" s="2" t="n">
        <v>29</v>
      </c>
      <c r="F704" s="2" t="inlineStr">
        <is>
          <t>National pick 36</t>
        </is>
      </c>
      <c r="G704" s="3" t="n">
        <v>48</v>
      </c>
      <c r="H704" s="3" t="n">
        <v>42</v>
      </c>
      <c r="I704" s="3">
        <f>H704-G704</f>
        <v/>
      </c>
      <c r="J704" s="4">
        <f>IF(G704=0,"",(H704-G704)/G704)</f>
        <v/>
      </c>
      <c r="K704" s="4">
        <f>IF(G704=0,"",(H704-G704*0.891738)/(G704*0.891738))</f>
        <v/>
      </c>
      <c r="L704" s="3" t="n">
        <v>0</v>
      </c>
      <c r="M704" s="3" t="n">
        <v>0</v>
      </c>
      <c r="N704" s="3" t="n">
        <v>-6</v>
      </c>
      <c r="O704" s="3" t="n">
        <v>0</v>
      </c>
      <c r="P704" s="3" t="n">
        <v>0</v>
      </c>
      <c r="Q704" s="3">
        <f>SUM(L704:P704)-I704</f>
        <v/>
      </c>
    </row>
    <row r="705">
      <c r="A705" s="2" t="inlineStr">
        <is>
          <t>harry-perryman</t>
        </is>
      </c>
      <c r="B705" s="2" t="inlineStr">
        <is>
          <t>Harry Perryman</t>
        </is>
      </c>
      <c r="C705" s="2" t="inlineStr">
        <is>
          <t>Collingwood</t>
        </is>
      </c>
      <c r="D705" s="2" t="inlineStr">
        <is>
          <t>SD</t>
        </is>
      </c>
      <c r="E705" s="2" t="n">
        <v>28</v>
      </c>
      <c r="F705" s="2" t="inlineStr">
        <is>
          <t>National pick 14</t>
        </is>
      </c>
      <c r="G705" s="3" t="n">
        <v>69</v>
      </c>
      <c r="H705" s="3" t="n">
        <v>62</v>
      </c>
      <c r="I705" s="3">
        <f>H705-G705</f>
        <v/>
      </c>
      <c r="J705" s="4">
        <f>IF(G705=0,"",(H705-G705)/G705)</f>
        <v/>
      </c>
      <c r="K705" s="4">
        <f>IF(G705=0,"",(H705-G705*0.891738)/(G705*0.891738))</f>
        <v/>
      </c>
      <c r="L705" s="3" t="n">
        <v>-1</v>
      </c>
      <c r="M705" s="3" t="n">
        <v>0</v>
      </c>
      <c r="N705" s="3" t="n">
        <v>-6</v>
      </c>
      <c r="O705" s="3" t="n">
        <v>0</v>
      </c>
      <c r="P705" s="3" t="n">
        <v>0</v>
      </c>
      <c r="Q705" s="3">
        <f>SUM(L705:P705)-I705</f>
        <v/>
      </c>
    </row>
    <row r="706">
      <c r="A706" s="2" t="inlineStr">
        <is>
          <t>jaxon-prior</t>
        </is>
      </c>
      <c r="B706" s="2" t="inlineStr">
        <is>
          <t>Jaxon Prior</t>
        </is>
      </c>
      <c r="C706" s="2" t="inlineStr">
        <is>
          <t>Brisbane</t>
        </is>
      </c>
      <c r="D706" s="2" t="inlineStr">
        <is>
          <t>SD</t>
        </is>
      </c>
      <c r="E706" s="2" t="n">
        <v>25</v>
      </c>
      <c r="F706" s="2" t="inlineStr">
        <is>
          <t>National pick 58</t>
        </is>
      </c>
      <c r="G706" s="3" t="n">
        <v>293</v>
      </c>
      <c r="H706" s="3" t="n">
        <v>258</v>
      </c>
      <c r="I706" s="3">
        <f>H706-G706</f>
        <v/>
      </c>
      <c r="J706" s="4">
        <f>IF(G706=0,"",(H706-G706)/G706)</f>
        <v/>
      </c>
      <c r="K706" s="4">
        <f>IF(G706=0,"",(H706-G706*0.891738)/(G706*0.891738))</f>
        <v/>
      </c>
      <c r="L706" s="3" t="n">
        <v>-5</v>
      </c>
      <c r="M706" s="3" t="n">
        <v>0</v>
      </c>
      <c r="N706" s="3" t="n">
        <v>-30</v>
      </c>
      <c r="O706" s="3" t="n">
        <v>0</v>
      </c>
      <c r="P706" s="3" t="n">
        <v>0</v>
      </c>
      <c r="Q706" s="3">
        <f>SUM(L706:P706)-I706</f>
        <v/>
      </c>
    </row>
    <row r="707">
      <c r="A707" s="2" t="inlineStr">
        <is>
          <t>brandon-walker</t>
        </is>
      </c>
      <c r="B707" s="2" t="inlineStr">
        <is>
          <t>Brandon Walker</t>
        </is>
      </c>
      <c r="C707" s="2" t="inlineStr">
        <is>
          <t>Fremantle</t>
        </is>
      </c>
      <c r="D707" s="2" t="inlineStr">
        <is>
          <t>SD</t>
        </is>
      </c>
      <c r="E707" s="2" t="n">
        <v>24</v>
      </c>
      <c r="F707" s="2" t="inlineStr">
        <is>
          <t>National pick 52</t>
        </is>
      </c>
      <c r="G707" s="3" t="n">
        <v>62</v>
      </c>
      <c r="H707" s="3" t="n">
        <v>54</v>
      </c>
      <c r="I707" s="3">
        <f>H707-G707</f>
        <v/>
      </c>
      <c r="J707" s="4">
        <f>IF(G707=0,"",(H707-G707)/G707)</f>
        <v/>
      </c>
      <c r="K707" s="4">
        <f>IF(G707=0,"",(H707-G707*0.891738)/(G707*0.891738))</f>
        <v/>
      </c>
      <c r="L707" s="3" t="n">
        <v>-1</v>
      </c>
      <c r="M707" s="3" t="n">
        <v>0</v>
      </c>
      <c r="N707" s="3" t="n">
        <v>-7</v>
      </c>
      <c r="O707" s="3" t="n">
        <v>0</v>
      </c>
      <c r="P707" s="3" t="n">
        <v>0</v>
      </c>
      <c r="Q707" s="3">
        <f>SUM(L707:P707)-I707</f>
        <v/>
      </c>
    </row>
    <row r="708">
      <c r="A708" s="2" t="inlineStr">
        <is>
          <t>harrison-jones</t>
        </is>
      </c>
      <c r="B708" s="2" t="inlineStr">
        <is>
          <t>Harrison Jones</t>
        </is>
      </c>
      <c r="C708" s="2" t="inlineStr">
        <is>
          <t>Essendon</t>
        </is>
      </c>
      <c r="D708" s="2" t="inlineStr">
        <is>
          <t>KPF</t>
        </is>
      </c>
      <c r="E708" s="2" t="n">
        <v>25</v>
      </c>
      <c r="F708" s="2" t="inlineStr">
        <is>
          <t>National pick 30</t>
        </is>
      </c>
      <c r="G708" s="3" t="n">
        <v>174</v>
      </c>
      <c r="H708" s="3" t="n">
        <v>156</v>
      </c>
      <c r="I708" s="3">
        <f>H708-G708</f>
        <v/>
      </c>
      <c r="J708" s="4">
        <f>IF(G708=0,"",(H708-G708)/G708)</f>
        <v/>
      </c>
      <c r="K708" s="4">
        <f>IF(G708=0,"",(H708-G708*0.891738)/(G708*0.891738))</f>
        <v/>
      </c>
      <c r="L708" s="3" t="n">
        <v>1</v>
      </c>
      <c r="M708" s="3" t="n">
        <v>0</v>
      </c>
      <c r="N708" s="3" t="n">
        <v>-19</v>
      </c>
      <c r="O708" s="3" t="n">
        <v>0</v>
      </c>
      <c r="P708" s="3" t="n">
        <v>0</v>
      </c>
      <c r="Q708" s="3">
        <f>SUM(L708:P708)-I708</f>
        <v/>
      </c>
    </row>
    <row r="709">
      <c r="A709" s="2" t="inlineStr">
        <is>
          <t>dougal-howard</t>
        </is>
      </c>
      <c r="B709" s="2" t="inlineStr">
        <is>
          <t>Dougal Howard</t>
        </is>
      </c>
      <c r="C709" s="2" t="inlineStr">
        <is>
          <t>St Kilda</t>
        </is>
      </c>
      <c r="D709" s="2" t="inlineStr">
        <is>
          <t>KPD</t>
        </is>
      </c>
      <c r="E709" s="2" t="n">
        <v>30</v>
      </c>
      <c r="F709" s="2" t="inlineStr">
        <is>
          <t>National pick 56</t>
        </is>
      </c>
      <c r="G709" s="3" t="n">
        <v>47</v>
      </c>
      <c r="H709" s="3" t="n">
        <v>41</v>
      </c>
      <c r="I709" s="3">
        <f>H709-G709</f>
        <v/>
      </c>
      <c r="J709" s="4">
        <f>IF(G709=0,"",(H709-G709)/G709)</f>
        <v/>
      </c>
      <c r="K709" s="4">
        <f>IF(G709=0,"",(H709-G709*0.891738)/(G709*0.891738))</f>
        <v/>
      </c>
      <c r="L709" s="3" t="n">
        <v>-1</v>
      </c>
      <c r="M709" s="3" t="n">
        <v>0</v>
      </c>
      <c r="N709" s="3" t="n">
        <v>-5</v>
      </c>
      <c r="O709" s="3" t="n">
        <v>0</v>
      </c>
      <c r="P709" s="3" t="n">
        <v>0</v>
      </c>
      <c r="Q709" s="3">
        <f>SUM(L709:P709)-I709</f>
        <v/>
      </c>
    </row>
    <row r="710">
      <c r="A710" s="2" t="inlineStr">
        <is>
          <t>nick-haynes</t>
        </is>
      </c>
      <c r="B710" s="2" t="inlineStr">
        <is>
          <t>Nick Haynes</t>
        </is>
      </c>
      <c r="C710" s="2" t="inlineStr">
        <is>
          <t>Carlton</t>
        </is>
      </c>
      <c r="D710" s="2" t="inlineStr">
        <is>
          <t>SD</t>
        </is>
      </c>
      <c r="E710" s="2" t="n">
        <v>34</v>
      </c>
      <c r="F710" s="2" t="inlineStr">
        <is>
          <t>National pick 10</t>
        </is>
      </c>
      <c r="G710" s="3" t="n">
        <v>50</v>
      </c>
      <c r="H710" s="3" t="n">
        <v>48</v>
      </c>
      <c r="I710" s="3">
        <f>H710-G710</f>
        <v/>
      </c>
      <c r="J710" s="4">
        <f>IF(G710=0,"",(H710-G710)/G710)</f>
        <v/>
      </c>
      <c r="K710" s="4">
        <f>IF(G710=0,"",(H710-G710*0.891738)/(G710*0.891738))</f>
        <v/>
      </c>
      <c r="L710" s="3" t="n">
        <v>0</v>
      </c>
      <c r="M710" s="3" t="n">
        <v>0</v>
      </c>
      <c r="N710" s="3" t="n">
        <v>-2</v>
      </c>
      <c r="O710" s="3" t="n">
        <v>0</v>
      </c>
      <c r="P710" s="3" t="n">
        <v>0</v>
      </c>
      <c r="Q710" s="3">
        <f>SUM(L710:P710)-I710</f>
        <v/>
      </c>
    </row>
    <row r="711">
      <c r="A711" s="2" t="inlineStr">
        <is>
          <t>charlie-ballard</t>
        </is>
      </c>
      <c r="B711" s="2" t="inlineStr">
        <is>
          <t>Charlie Ballard</t>
        </is>
      </c>
      <c r="C711" s="2" t="inlineStr">
        <is>
          <t>Gold Coast</t>
        </is>
      </c>
      <c r="D711" s="2" t="inlineStr">
        <is>
          <t>KPD</t>
        </is>
      </c>
      <c r="E711" s="2" t="n">
        <v>27</v>
      </c>
      <c r="F711" s="2" t="inlineStr">
        <is>
          <t>National pick 42</t>
        </is>
      </c>
      <c r="G711" s="3" t="n">
        <v>42</v>
      </c>
      <c r="H711" s="3" t="n">
        <v>37</v>
      </c>
      <c r="I711" s="3">
        <f>H711-G711</f>
        <v/>
      </c>
      <c r="J711" s="4">
        <f>IF(G711=0,"",(H711-G711)/G711)</f>
        <v/>
      </c>
      <c r="K711" s="4">
        <f>IF(G711=0,"",(H711-G711*0.891738)/(G711*0.891738))</f>
        <v/>
      </c>
      <c r="L711" s="3" t="n">
        <v>0</v>
      </c>
      <c r="M711" s="3" t="n">
        <v>0</v>
      </c>
      <c r="N711" s="3" t="n">
        <v>-5</v>
      </c>
      <c r="O711" s="3" t="n">
        <v>0</v>
      </c>
      <c r="P711" s="3" t="n">
        <v>0</v>
      </c>
      <c r="Q711" s="3">
        <f>SUM(L711:P711)-I711</f>
        <v/>
      </c>
    </row>
    <row r="712">
      <c r="A712" s="2" t="inlineStr">
        <is>
          <t>jacob-wehr</t>
        </is>
      </c>
      <c r="B712" s="2" t="inlineStr">
        <is>
          <t>Jacob Wehr</t>
        </is>
      </c>
      <c r="C712" s="2" t="inlineStr">
        <is>
          <t>Port Adelaide</t>
        </is>
      </c>
      <c r="D712" s="2" t="inlineStr">
        <is>
          <t>SD</t>
        </is>
      </c>
      <c r="E712" s="2" t="n">
        <v>28</v>
      </c>
      <c r="F712" s="2" t="inlineStr">
        <is>
          <t>National pick 61</t>
        </is>
      </c>
      <c r="G712" s="3" t="n">
        <v>14</v>
      </c>
      <c r="H712" s="3" t="n">
        <v>13</v>
      </c>
      <c r="I712" s="3">
        <f>H712-G712</f>
        <v/>
      </c>
      <c r="J712" s="4">
        <f>IF(G712=0,"",(H712-G712)/G712)</f>
        <v/>
      </c>
      <c r="K712" s="4">
        <f>IF(G712=0,"",(H712-G712*0.891738)/(G712*0.891738))</f>
        <v/>
      </c>
      <c r="L712" s="3" t="n">
        <v>0</v>
      </c>
      <c r="M712" s="3" t="n">
        <v>0</v>
      </c>
      <c r="N712" s="3" t="n">
        <v>-1</v>
      </c>
      <c r="O712" s="3" t="n">
        <v>0</v>
      </c>
      <c r="P712" s="3" t="n">
        <v>0</v>
      </c>
      <c r="Q712" s="3">
        <f>SUM(L712:P712)-I712</f>
        <v/>
      </c>
    </row>
    <row r="713">
      <c r="A713" s="2" t="inlineStr">
        <is>
          <t>mitch-mcgovern</t>
        </is>
      </c>
      <c r="B713" s="2" t="inlineStr">
        <is>
          <t>Mitch McGovern</t>
        </is>
      </c>
      <c r="C713" s="2" t="inlineStr">
        <is>
          <t>Carlton</t>
        </is>
      </c>
      <c r="D713" s="2" t="inlineStr">
        <is>
          <t>SD</t>
        </is>
      </c>
      <c r="E713" s="2" t="n">
        <v>32</v>
      </c>
      <c r="F713" s="2" t="inlineStr">
        <is>
          <t>National pick 43</t>
        </is>
      </c>
      <c r="G713" s="3" t="n">
        <v>42</v>
      </c>
      <c r="H713" s="3" t="n">
        <v>36</v>
      </c>
      <c r="I713" s="3">
        <f>H713-G713</f>
        <v/>
      </c>
      <c r="J713" s="4">
        <f>IF(G713=0,"",(H713-G713)/G713)</f>
        <v/>
      </c>
      <c r="K713" s="4">
        <f>IF(G713=0,"",(H713-G713*0.891738)/(G713*0.891738))</f>
        <v/>
      </c>
      <c r="L713" s="3" t="n">
        <v>-1</v>
      </c>
      <c r="M713" s="3" t="n">
        <v>0</v>
      </c>
      <c r="N713" s="3" t="n">
        <v>-5</v>
      </c>
      <c r="O713" s="3" t="n">
        <v>0</v>
      </c>
      <c r="P713" s="3" t="n">
        <v>0</v>
      </c>
      <c r="Q713" s="3">
        <f>SUM(L713:P713)-I713</f>
        <v/>
      </c>
    </row>
    <row r="714">
      <c r="A714" s="2" t="inlineStr">
        <is>
          <t>max-heath</t>
        </is>
      </c>
      <c r="B714" s="2" t="inlineStr">
        <is>
          <t>Max Heath</t>
        </is>
      </c>
      <c r="C714" s="2" t="inlineStr">
        <is>
          <t>Melbourne</t>
        </is>
      </c>
      <c r="D714" s="2" t="inlineStr">
        <is>
          <t>RUCK</t>
        </is>
      </c>
      <c r="E714" s="2" t="n">
        <v>24</v>
      </c>
      <c r="F714" s="2" t="inlineStr">
        <is>
          <t>Mid-Season pick 7</t>
        </is>
      </c>
      <c r="G714" s="3" t="n">
        <v>632</v>
      </c>
      <c r="H714" s="3" t="n">
        <v>498</v>
      </c>
      <c r="I714" s="3">
        <f>H714-G714</f>
        <v/>
      </c>
      <c r="J714" s="4">
        <f>IF(G714=0,"",(H714-G714)/G714)</f>
        <v/>
      </c>
      <c r="K714" s="4">
        <f>IF(G714=0,"",(H714-G714*0.891738)/(G714*0.891738))</f>
        <v/>
      </c>
      <c r="L714" s="3" t="n">
        <v>-73</v>
      </c>
      <c r="M714" s="3" t="n">
        <v>0</v>
      </c>
      <c r="N714" s="3" t="n">
        <v>-61</v>
      </c>
      <c r="O714" s="3" t="n">
        <v>0</v>
      </c>
      <c r="P714" s="3" t="n">
        <v>0</v>
      </c>
      <c r="Q714" s="3">
        <f>SUM(L714:P714)-I714</f>
        <v/>
      </c>
    </row>
    <row r="715">
      <c r="A715" s="2" t="inlineStr">
        <is>
          <t>jack-scrimshaw</t>
        </is>
      </c>
      <c r="B715" s="2" t="inlineStr">
        <is>
          <t>Jack Scrimshaw</t>
        </is>
      </c>
      <c r="C715" s="2" t="inlineStr">
        <is>
          <t>Hawthorn</t>
        </is>
      </c>
      <c r="D715" s="2" t="inlineStr">
        <is>
          <t>SD</t>
        </is>
      </c>
      <c r="E715" s="2" t="n">
        <v>28</v>
      </c>
      <c r="F715" s="2" t="inlineStr">
        <is>
          <t>National pick 7</t>
        </is>
      </c>
      <c r="G715" s="3" t="n">
        <v>93</v>
      </c>
      <c r="H715" s="3" t="n">
        <v>82</v>
      </c>
      <c r="I715" s="3">
        <f>H715-G715</f>
        <v/>
      </c>
      <c r="J715" s="4">
        <f>IF(G715=0,"",(H715-G715)/G715)</f>
        <v/>
      </c>
      <c r="K715" s="4">
        <f>IF(G715=0,"",(H715-G715*0.891738)/(G715*0.891738))</f>
        <v/>
      </c>
      <c r="L715" s="3" t="n">
        <v>-1</v>
      </c>
      <c r="M715" s="3" t="n">
        <v>0</v>
      </c>
      <c r="N715" s="3" t="n">
        <v>-10</v>
      </c>
      <c r="O715" s="3" t="n">
        <v>0</v>
      </c>
      <c r="P715" s="3" t="n">
        <v>0</v>
      </c>
      <c r="Q715" s="3">
        <f>SUM(L715:P715)-I715</f>
        <v/>
      </c>
    </row>
    <row r="716">
      <c r="A716" s="2" t="inlineStr">
        <is>
          <t>buku-khamis</t>
        </is>
      </c>
      <c r="B716" s="2" t="inlineStr">
        <is>
          <t>Buku Khamis</t>
        </is>
      </c>
      <c r="C716" s="2" t="inlineStr">
        <is>
          <t>Western Bulldogs</t>
        </is>
      </c>
      <c r="D716" s="2" t="inlineStr">
        <is>
          <t>KPD</t>
        </is>
      </c>
      <c r="E716" s="2" t="n">
        <v>26</v>
      </c>
      <c r="F716" s="2" t="inlineStr">
        <is>
          <t>Post-Draft - Next Gen (pool)</t>
        </is>
      </c>
      <c r="G716" s="3" t="n">
        <v>149</v>
      </c>
      <c r="H716" s="3" t="n">
        <v>129</v>
      </c>
      <c r="I716" s="3">
        <f>H716-G716</f>
        <v/>
      </c>
      <c r="J716" s="4">
        <f>IF(G716=0,"",(H716-G716)/G716)</f>
        <v/>
      </c>
      <c r="K716" s="4">
        <f>IF(G716=0,"",(H716-G716*0.891738)/(G716*0.891738))</f>
        <v/>
      </c>
      <c r="L716" s="3" t="n">
        <v>-5</v>
      </c>
      <c r="M716" s="3" t="n">
        <v>0</v>
      </c>
      <c r="N716" s="3" t="n">
        <v>-15</v>
      </c>
      <c r="O716" s="3" t="n">
        <v>0</v>
      </c>
      <c r="P716" s="3" t="n">
        <v>0</v>
      </c>
      <c r="Q716" s="3">
        <f>SUM(L716:P716)-I716</f>
        <v/>
      </c>
    </row>
    <row r="717">
      <c r="A717" s="2" t="inlineStr">
        <is>
          <t>henry-smith</t>
        </is>
      </c>
      <c r="B717" s="2" t="inlineStr">
        <is>
          <t>Henry Smith</t>
        </is>
      </c>
      <c r="C717" s="2" t="inlineStr">
        <is>
          <t>Brisbane</t>
        </is>
      </c>
      <c r="D717" s="2" t="inlineStr">
        <is>
          <t>KPF</t>
        </is>
      </c>
      <c r="E717" s="2" t="n">
        <v>24</v>
      </c>
      <c r="F717" s="2" t="inlineStr">
        <is>
          <t>National pick 50</t>
        </is>
      </c>
      <c r="G717" s="3" t="n">
        <v>82</v>
      </c>
      <c r="H717" s="3" t="n">
        <v>70</v>
      </c>
      <c r="I717" s="3">
        <f>H717-G717</f>
        <v/>
      </c>
      <c r="J717" s="4">
        <f>IF(G717=0,"",(H717-G717)/G717)</f>
        <v/>
      </c>
      <c r="K717" s="4">
        <f>IF(G717=0,"",(H717-G717*0.891738)/(G717*0.891738))</f>
        <v/>
      </c>
      <c r="L717" s="3" t="n">
        <v>0</v>
      </c>
      <c r="M717" s="3" t="n">
        <v>0</v>
      </c>
      <c r="N717" s="3" t="n">
        <v>-12</v>
      </c>
      <c r="O717" s="3" t="n">
        <v>0</v>
      </c>
      <c r="P717" s="3" t="n">
        <v>0</v>
      </c>
      <c r="Q717" s="3">
        <f>SUM(L717:P717)-I717</f>
        <v/>
      </c>
    </row>
    <row r="718">
      <c r="A718" s="2" t="inlineStr">
        <is>
          <t>lachlan-weller</t>
        </is>
      </c>
      <c r="B718" s="2" t="inlineStr">
        <is>
          <t>Lachlan Weller</t>
        </is>
      </c>
      <c r="C718" s="2" t="inlineStr">
        <is>
          <t>Gold Coast</t>
        </is>
      </c>
      <c r="D718" s="2" t="inlineStr">
        <is>
          <t>MID</t>
        </is>
      </c>
      <c r="E718" s="2" t="n">
        <v>30</v>
      </c>
      <c r="F718" s="2" t="inlineStr">
        <is>
          <t>National pick 14</t>
        </is>
      </c>
      <c r="G718" s="3" t="n">
        <v>74</v>
      </c>
      <c r="H718" s="3" t="n">
        <v>70</v>
      </c>
      <c r="I718" s="3">
        <f>H718-G718</f>
        <v/>
      </c>
      <c r="J718" s="4">
        <f>IF(G718=0,"",(H718-G718)/G718)</f>
        <v/>
      </c>
      <c r="K718" s="4">
        <f>IF(G718=0,"",(H718-G718*0.891738)/(G718*0.891738))</f>
        <v/>
      </c>
      <c r="L718" s="3" t="n">
        <v>0</v>
      </c>
      <c r="M718" s="3" t="n">
        <v>0</v>
      </c>
      <c r="N718" s="3" t="n">
        <v>-4</v>
      </c>
      <c r="O718" s="3" t="n">
        <v>0</v>
      </c>
      <c r="P718" s="3" t="n">
        <v>0</v>
      </c>
      <c r="Q718" s="3">
        <f>SUM(L718:P718)-I718</f>
        <v/>
      </c>
    </row>
    <row r="719">
      <c r="A719" s="2" t="inlineStr">
        <is>
          <t>billy-frampton</t>
        </is>
      </c>
      <c r="B719" s="2" t="inlineStr">
        <is>
          <t>Billy Frampton</t>
        </is>
      </c>
      <c r="C719" s="2" t="inlineStr">
        <is>
          <t>Collingwood</t>
        </is>
      </c>
      <c r="D719" s="2" t="inlineStr">
        <is>
          <t>KPD</t>
        </is>
      </c>
      <c r="E719" s="2" t="n">
        <v>30</v>
      </c>
      <c r="F719" s="2" t="inlineStr">
        <is>
          <t>National pick 74</t>
        </is>
      </c>
      <c r="G719" s="3" t="n">
        <v>34</v>
      </c>
      <c r="H719" s="3" t="n">
        <v>30</v>
      </c>
      <c r="I719" s="3">
        <f>H719-G719</f>
        <v/>
      </c>
      <c r="J719" s="4">
        <f>IF(G719=0,"",(H719-G719)/G719)</f>
        <v/>
      </c>
      <c r="K719" s="4">
        <f>IF(G719=0,"",(H719-G719*0.891738)/(G719*0.891738))</f>
        <v/>
      </c>
      <c r="L719" s="3" t="n">
        <v>0</v>
      </c>
      <c r="M719" s="3" t="n">
        <v>0</v>
      </c>
      <c r="N719" s="3" t="n">
        <v>-4</v>
      </c>
      <c r="O719" s="3" t="n">
        <v>0</v>
      </c>
      <c r="P719" s="3" t="n">
        <v>0</v>
      </c>
      <c r="Q719" s="3">
        <f>SUM(L719:P719)-I719</f>
        <v/>
      </c>
    </row>
    <row r="720">
      <c r="A720" s="2" t="inlineStr">
        <is>
          <t>patrick-dangerfield</t>
        </is>
      </c>
      <c r="B720" s="2" t="inlineStr">
        <is>
          <t>Patrick Dangerfield</t>
        </is>
      </c>
      <c r="C720" s="2" t="inlineStr">
        <is>
          <t>Geelong</t>
        </is>
      </c>
      <c r="D720" s="2" t="inlineStr">
        <is>
          <t>SF</t>
        </is>
      </c>
      <c r="E720" s="2" t="n">
        <v>37</v>
      </c>
      <c r="F720" s="2" t="inlineStr">
        <is>
          <t>National pick 10</t>
        </is>
      </c>
      <c r="G720" s="3" t="n">
        <v>63</v>
      </c>
      <c r="H720" s="3" t="n">
        <v>61</v>
      </c>
      <c r="I720" s="3">
        <f>H720-G720</f>
        <v/>
      </c>
      <c r="J720" s="4">
        <f>IF(G720=0,"",(H720-G720)/G720)</f>
        <v/>
      </c>
      <c r="K720" s="4">
        <f>IF(G720=0,"",(H720-G720*0.891738)/(G720*0.891738))</f>
        <v/>
      </c>
      <c r="L720" s="3" t="n">
        <v>0</v>
      </c>
      <c r="M720" s="3" t="n">
        <v>0</v>
      </c>
      <c r="N720" s="3" t="n">
        <v>-2</v>
      </c>
      <c r="O720" s="3" t="n">
        <v>0</v>
      </c>
      <c r="P720" s="3" t="n">
        <v>0</v>
      </c>
      <c r="Q720" s="3">
        <f>SUM(L720:P720)-I720</f>
        <v/>
      </c>
    </row>
    <row r="721">
      <c r="A721" s="2" t="inlineStr">
        <is>
          <t>tom-barrass</t>
        </is>
      </c>
      <c r="B721" s="2" t="inlineStr">
        <is>
          <t>Tom Barrass</t>
        </is>
      </c>
      <c r="C721" s="2" t="inlineStr">
        <is>
          <t>Hawthorn</t>
        </is>
      </c>
      <c r="D721" s="2" t="inlineStr">
        <is>
          <t>KPD</t>
        </is>
      </c>
      <c r="E721" s="2" t="n">
        <v>31</v>
      </c>
      <c r="F721" s="2" t="inlineStr">
        <is>
          <t>National pick 43</t>
        </is>
      </c>
      <c r="G721" s="3" t="n">
        <v>32</v>
      </c>
      <c r="H721" s="3" t="n">
        <v>29</v>
      </c>
      <c r="I721" s="3">
        <f>H721-G721</f>
        <v/>
      </c>
      <c r="J721" s="4">
        <f>IF(G721=0,"",(H721-G721)/G721)</f>
        <v/>
      </c>
      <c r="K721" s="4">
        <f>IF(G721=0,"",(H721-G721*0.891738)/(G721*0.891738))</f>
        <v/>
      </c>
      <c r="L721" s="3" t="n">
        <v>0</v>
      </c>
      <c r="M721" s="3" t="n">
        <v>0</v>
      </c>
      <c r="N721" s="3" t="n">
        <v>-3</v>
      </c>
      <c r="O721" s="3" t="n">
        <v>0</v>
      </c>
      <c r="P721" s="3" t="n">
        <v>0</v>
      </c>
      <c r="Q721" s="3">
        <f>SUM(L721:P721)-I721</f>
        <v/>
      </c>
    </row>
    <row r="722">
      <c r="A722" s="2" t="inlineStr">
        <is>
          <t>todd-marshall</t>
        </is>
      </c>
      <c r="B722" s="2" t="inlineStr">
        <is>
          <t>Todd Marshall</t>
        </is>
      </c>
      <c r="C722" s="2" t="inlineStr">
        <is>
          <t>Port Adelaide</t>
        </is>
      </c>
      <c r="D722" s="2" t="inlineStr">
        <is>
          <t>KPF</t>
        </is>
      </c>
      <c r="E722" s="2" t="n">
        <v>28</v>
      </c>
      <c r="F722" s="2" t="inlineStr">
        <is>
          <t>National pick 16</t>
        </is>
      </c>
      <c r="G722" s="3" t="n">
        <v>66</v>
      </c>
      <c r="H722" s="3" t="n">
        <v>55</v>
      </c>
      <c r="I722" s="3">
        <f>H722-G722</f>
        <v/>
      </c>
      <c r="J722" s="4">
        <f>IF(G722=0,"",(H722-G722)/G722)</f>
        <v/>
      </c>
      <c r="K722" s="4">
        <f>IF(G722=0,"",(H722-G722*0.891738)/(G722*0.891738))</f>
        <v/>
      </c>
      <c r="L722" s="3" t="n">
        <v>-1</v>
      </c>
      <c r="M722" s="3" t="n">
        <v>-3</v>
      </c>
      <c r="N722" s="3" t="n">
        <v>-7</v>
      </c>
      <c r="O722" s="3" t="n">
        <v>0</v>
      </c>
      <c r="P722" s="3" t="n">
        <v>0</v>
      </c>
      <c r="Q722" s="3">
        <f>SUM(L722:P722)-I722</f>
        <v/>
      </c>
    </row>
    <row r="723">
      <c r="A723" s="2" t="inlineStr">
        <is>
          <t>cody-weightman</t>
        </is>
      </c>
      <c r="B723" s="2" t="inlineStr">
        <is>
          <t>Cody Weightman</t>
        </is>
      </c>
      <c r="C723" s="2" t="inlineStr">
        <is>
          <t>Western Bulldogs</t>
        </is>
      </c>
      <c r="D723" s="2" t="inlineStr">
        <is>
          <t>SF</t>
        </is>
      </c>
      <c r="E723" s="2" t="n">
        <v>25</v>
      </c>
      <c r="F723" s="2" t="inlineStr">
        <is>
          <t>National pick 15</t>
        </is>
      </c>
      <c r="G723" s="3" t="n">
        <v>151</v>
      </c>
      <c r="H723" s="3" t="n">
        <v>133</v>
      </c>
      <c r="I723" s="3">
        <f>H723-G723</f>
        <v/>
      </c>
      <c r="J723" s="4">
        <f>IF(G723=0,"",(H723-G723)/G723)</f>
        <v/>
      </c>
      <c r="K723" s="4">
        <f>IF(G723=0,"",(H723-G723*0.891738)/(G723*0.891738))</f>
        <v/>
      </c>
      <c r="L723" s="3" t="n">
        <v>-2</v>
      </c>
      <c r="M723" s="3" t="n">
        <v>0</v>
      </c>
      <c r="N723" s="3" t="n">
        <v>-16</v>
      </c>
      <c r="O723" s="3" t="n">
        <v>0</v>
      </c>
      <c r="P723" s="3" t="n">
        <v>0</v>
      </c>
      <c r="Q723" s="3">
        <f>SUM(L723:P723)-I723</f>
        <v/>
      </c>
    </row>
    <row r="724">
      <c r="A724" s="2" t="inlineStr">
        <is>
          <t>xavier-duursma</t>
        </is>
      </c>
      <c r="B724" s="2" t="inlineStr">
        <is>
          <t>Xavier Duursma</t>
        </is>
      </c>
      <c r="C724" s="2" t="inlineStr">
        <is>
          <t>Essendon</t>
        </is>
      </c>
      <c r="D724" s="2" t="inlineStr">
        <is>
          <t>MID</t>
        </is>
      </c>
      <c r="E724" s="2" t="n">
        <v>26</v>
      </c>
      <c r="F724" s="2" t="inlineStr">
        <is>
          <t>National pick 18</t>
        </is>
      </c>
      <c r="G724" s="3" t="n">
        <v>145</v>
      </c>
      <c r="H724" s="3" t="n">
        <v>128</v>
      </c>
      <c r="I724" s="3">
        <f>H724-G724</f>
        <v/>
      </c>
      <c r="J724" s="4">
        <f>IF(G724=0,"",(H724-G724)/G724)</f>
        <v/>
      </c>
      <c r="K724" s="4">
        <f>IF(G724=0,"",(H724-G724*0.891738)/(G724*0.891738))</f>
        <v/>
      </c>
      <c r="L724" s="3" t="n">
        <v>-2</v>
      </c>
      <c r="M724" s="3" t="n">
        <v>0</v>
      </c>
      <c r="N724" s="3" t="n">
        <v>-15</v>
      </c>
      <c r="O724" s="3" t="n">
        <v>0</v>
      </c>
      <c r="P724" s="3" t="n">
        <v>0</v>
      </c>
      <c r="Q724" s="3">
        <f>SUM(L724:P724)-I724</f>
        <v/>
      </c>
    </row>
    <row r="725">
      <c r="A725" s="2" t="inlineStr">
        <is>
          <t>lachlan-fogarty</t>
        </is>
      </c>
      <c r="B725" s="2" t="inlineStr">
        <is>
          <t>Lachlan Fogarty</t>
        </is>
      </c>
      <c r="C725" s="2" t="inlineStr">
        <is>
          <t>Carlton</t>
        </is>
      </c>
      <c r="D725" s="2" t="inlineStr">
        <is>
          <t>SF</t>
        </is>
      </c>
      <c r="E725" s="2" t="n">
        <v>27</v>
      </c>
      <c r="F725" s="2" t="inlineStr">
        <is>
          <t>National pick 22</t>
        </is>
      </c>
      <c r="G725" s="3" t="n">
        <v>36</v>
      </c>
      <c r="H725" s="3" t="n">
        <v>31</v>
      </c>
      <c r="I725" s="3">
        <f>H725-G725</f>
        <v/>
      </c>
      <c r="J725" s="4">
        <f>IF(G725=0,"",(H725-G725)/G725)</f>
        <v/>
      </c>
      <c r="K725" s="4">
        <f>IF(G725=0,"",(H725-G725*0.891738)/(G725*0.891738))</f>
        <v/>
      </c>
      <c r="L725" s="3" t="n">
        <v>-1</v>
      </c>
      <c r="M725" s="3" t="n">
        <v>0</v>
      </c>
      <c r="N725" s="3" t="n">
        <v>-4</v>
      </c>
      <c r="O725" s="3" t="n">
        <v>0</v>
      </c>
      <c r="P725" s="3" t="n">
        <v>0</v>
      </c>
      <c r="Q725" s="3">
        <f>SUM(L725:P725)-I725</f>
        <v/>
      </c>
    </row>
    <row r="726">
      <c r="A726" s="2" t="inlineStr">
        <is>
          <t>lewis-melican</t>
        </is>
      </c>
      <c r="B726" s="2" t="inlineStr">
        <is>
          <t>Lewis Melican</t>
        </is>
      </c>
      <c r="C726" s="2" t="inlineStr">
        <is>
          <t>Sydney</t>
        </is>
      </c>
      <c r="D726" s="2" t="inlineStr">
        <is>
          <t>KPD</t>
        </is>
      </c>
      <c r="E726" s="2" t="n">
        <v>30</v>
      </c>
      <c r="F726" s="2" t="inlineStr">
        <is>
          <t>Rookie pick 32</t>
        </is>
      </c>
      <c r="G726" s="3" t="n">
        <v>29</v>
      </c>
      <c r="H726" s="3" t="n">
        <v>24</v>
      </c>
      <c r="I726" s="3">
        <f>H726-G726</f>
        <v/>
      </c>
      <c r="J726" s="4">
        <f>IF(G726=0,"",(H726-G726)/G726)</f>
        <v/>
      </c>
      <c r="K726" s="4">
        <f>IF(G726=0,"",(H726-G726*0.891738)/(G726*0.891738))</f>
        <v/>
      </c>
      <c r="L726" s="3" t="n">
        <v>-2</v>
      </c>
      <c r="M726" s="3" t="n">
        <v>0</v>
      </c>
      <c r="N726" s="3" t="n">
        <v>-3</v>
      </c>
      <c r="O726" s="3" t="n">
        <v>0</v>
      </c>
      <c r="P726" s="3" t="n">
        <v>0</v>
      </c>
      <c r="Q726" s="3">
        <f>SUM(L726:P726)-I726</f>
        <v/>
      </c>
    </row>
    <row r="727">
      <c r="A727" s="2" t="inlineStr">
        <is>
          <t>elliot-himmelberg</t>
        </is>
      </c>
      <c r="B727" s="2" t="inlineStr">
        <is>
          <t>Elliott Himmelberg</t>
        </is>
      </c>
      <c r="C727" s="2" t="inlineStr">
        <is>
          <t>Adelaide</t>
        </is>
      </c>
      <c r="D727" s="2" t="inlineStr">
        <is>
          <t>KPF</t>
        </is>
      </c>
      <c r="E727" s="2" t="n">
        <v>28</v>
      </c>
      <c r="F727" s="2" t="inlineStr">
        <is>
          <t>National pick 51</t>
        </is>
      </c>
      <c r="G727" s="3" t="n">
        <v>44</v>
      </c>
      <c r="H727" s="3" t="n">
        <v>44</v>
      </c>
      <c r="I727" s="3">
        <f>H727-G727</f>
        <v/>
      </c>
      <c r="J727" s="4">
        <f>IF(G727=0,"",(H727-G727)/G727)</f>
        <v/>
      </c>
      <c r="K727" s="4">
        <f>IF(G727=0,"",(H727-G727*0.891738)/(G727*0.891738))</f>
        <v/>
      </c>
      <c r="L727" s="3" t="n">
        <v>5</v>
      </c>
      <c r="M727" s="3" t="n">
        <v>0</v>
      </c>
      <c r="N727" s="3" t="n">
        <v>-5</v>
      </c>
      <c r="O727" s="3" t="n">
        <v>0</v>
      </c>
      <c r="P727" s="3" t="n">
        <v>0</v>
      </c>
      <c r="Q727" s="3">
        <f>SUM(L727:P727)-I727</f>
        <v/>
      </c>
    </row>
    <row r="728">
      <c r="A728" s="2" t="inlineStr">
        <is>
          <t>matt-cottrell</t>
        </is>
      </c>
      <c r="B728" s="2" t="inlineStr">
        <is>
          <t>Matt Cottrell</t>
        </is>
      </c>
      <c r="C728" s="2" t="inlineStr">
        <is>
          <t>Carlton</t>
        </is>
      </c>
      <c r="D728" s="2" t="inlineStr">
        <is>
          <t>MID</t>
        </is>
      </c>
      <c r="E728" s="2" t="n">
        <v>26</v>
      </c>
      <c r="F728" s="2" t="inlineStr">
        <is>
          <t>SSP (pool)</t>
        </is>
      </c>
      <c r="G728" s="3" t="n">
        <v>70</v>
      </c>
      <c r="H728" s="3" t="n">
        <v>62</v>
      </c>
      <c r="I728" s="3">
        <f>H728-G728</f>
        <v/>
      </c>
      <c r="J728" s="4">
        <f>IF(G728=0,"",(H728-G728)/G728)</f>
        <v/>
      </c>
      <c r="K728" s="4">
        <f>IF(G728=0,"",(H728-G728*0.891738)/(G728*0.891738))</f>
        <v/>
      </c>
      <c r="L728" s="3" t="n">
        <v>-2</v>
      </c>
      <c r="M728" s="3" t="n">
        <v>0</v>
      </c>
      <c r="N728" s="3" t="n">
        <v>-6</v>
      </c>
      <c r="O728" s="3" t="n">
        <v>0</v>
      </c>
      <c r="P728" s="3" t="n">
        <v>0</v>
      </c>
      <c r="Q728" s="3">
        <f>SUM(L728:P728)-I728</f>
        <v/>
      </c>
    </row>
    <row r="729">
      <c r="A729" s="2" t="inlineStr">
        <is>
          <t>eric-hipwood</t>
        </is>
      </c>
      <c r="B729" s="2" t="inlineStr">
        <is>
          <t>Eric Hipwood</t>
        </is>
      </c>
      <c r="C729" s="2" t="inlineStr">
        <is>
          <t>Brisbane</t>
        </is>
      </c>
      <c r="D729" s="2" t="inlineStr">
        <is>
          <t>KPF</t>
        </is>
      </c>
      <c r="E729" s="2" t="n">
        <v>29</v>
      </c>
      <c r="F729" s="2" t="inlineStr">
        <is>
          <t>National pick 14</t>
        </is>
      </c>
      <c r="G729" s="3" t="n">
        <v>42</v>
      </c>
      <c r="H729" s="3" t="n">
        <v>40</v>
      </c>
      <c r="I729" s="3">
        <f>H729-G729</f>
        <v/>
      </c>
      <c r="J729" s="4">
        <f>IF(G729=0,"",(H729-G729)/G729)</f>
        <v/>
      </c>
      <c r="K729" s="4">
        <f>IF(G729=0,"",(H729-G729*0.891738)/(G729*0.891738))</f>
        <v/>
      </c>
      <c r="L729" s="3" t="n">
        <v>0</v>
      </c>
      <c r="M729" s="3" t="n">
        <v>0</v>
      </c>
      <c r="N729" s="3" t="n">
        <v>-2</v>
      </c>
      <c r="O729" s="3" t="n">
        <v>0</v>
      </c>
      <c r="P729" s="3" t="n">
        <v>0</v>
      </c>
      <c r="Q729" s="3">
        <f>SUM(L729:P729)-I729</f>
        <v/>
      </c>
    </row>
    <row r="730">
      <c r="A730" s="2" t="inlineStr">
        <is>
          <t>xavier-o-halloran</t>
        </is>
      </c>
      <c r="B730" s="2" t="inlineStr">
        <is>
          <t>Xavier O'Halloran</t>
        </is>
      </c>
      <c r="C730" s="2" t="inlineStr">
        <is>
          <t>GWS</t>
        </is>
      </c>
      <c r="D730" s="2" t="inlineStr">
        <is>
          <t>SF</t>
        </is>
      </c>
      <c r="E730" s="2" t="n">
        <v>26</v>
      </c>
      <c r="F730" s="2" t="inlineStr">
        <is>
          <t>National pick 22</t>
        </is>
      </c>
      <c r="G730" s="3" t="n">
        <v>39</v>
      </c>
      <c r="H730" s="3" t="n">
        <v>34</v>
      </c>
      <c r="I730" s="3">
        <f>H730-G730</f>
        <v/>
      </c>
      <c r="J730" s="4">
        <f>IF(G730=0,"",(H730-G730)/G730)</f>
        <v/>
      </c>
      <c r="K730" s="4">
        <f>IF(G730=0,"",(H730-G730*0.891738)/(G730*0.891738))</f>
        <v/>
      </c>
      <c r="L730" s="3" t="n">
        <v>0</v>
      </c>
      <c r="M730" s="3" t="n">
        <v>0</v>
      </c>
      <c r="N730" s="3" t="n">
        <v>-5</v>
      </c>
      <c r="O730" s="3" t="n">
        <v>0</v>
      </c>
      <c r="P730" s="3" t="n">
        <v>0</v>
      </c>
      <c r="Q730" s="3">
        <f>SUM(L730:P730)-I730</f>
        <v/>
      </c>
    </row>
    <row r="731">
      <c r="A731" s="2" t="inlineStr">
        <is>
          <t>darcy-fort</t>
        </is>
      </c>
      <c r="B731" s="2" t="inlineStr">
        <is>
          <t>Darcy Fort</t>
        </is>
      </c>
      <c r="C731" s="2" t="inlineStr">
        <is>
          <t>Geelong</t>
        </is>
      </c>
      <c r="D731" s="2" t="inlineStr">
        <is>
          <t>RUCK</t>
        </is>
      </c>
      <c r="E731" s="2" t="n">
        <v>33</v>
      </c>
      <c r="F731" s="2" t="inlineStr">
        <is>
          <t>National pick 65</t>
        </is>
      </c>
      <c r="G731" s="3" t="n">
        <v>21</v>
      </c>
      <c r="H731" s="3" t="n">
        <v>18</v>
      </c>
      <c r="I731" s="3">
        <f>H731-G731</f>
        <v/>
      </c>
      <c r="J731" s="4">
        <f>IF(G731=0,"",(H731-G731)/G731)</f>
        <v/>
      </c>
      <c r="K731" s="4">
        <f>IF(G731=0,"",(H731-G731*0.891738)/(G731*0.891738))</f>
        <v/>
      </c>
      <c r="L731" s="3" t="n">
        <v>0</v>
      </c>
      <c r="M731" s="3" t="n">
        <v>0</v>
      </c>
      <c r="N731" s="3" t="n">
        <v>-3</v>
      </c>
      <c r="O731" s="3" t="n">
        <v>0</v>
      </c>
      <c r="P731" s="3" t="n">
        <v>0</v>
      </c>
      <c r="Q731" s="3">
        <f>SUM(L731:P731)-I731</f>
        <v/>
      </c>
    </row>
    <row r="732">
      <c r="A732" s="2" t="inlineStr">
        <is>
          <t>jacob-hopper</t>
        </is>
      </c>
      <c r="B732" s="2" t="inlineStr">
        <is>
          <t>Jacob Hopper</t>
        </is>
      </c>
      <c r="C732" s="2" t="inlineStr">
        <is>
          <t>Richmond</t>
        </is>
      </c>
      <c r="D732" s="2" t="inlineStr">
        <is>
          <t>MID</t>
        </is>
      </c>
      <c r="E732" s="2" t="n">
        <v>29</v>
      </c>
      <c r="F732" s="2" t="inlineStr">
        <is>
          <t>National pick 7</t>
        </is>
      </c>
      <c r="G732" s="3" t="n">
        <v>102</v>
      </c>
      <c r="H732" s="3" t="n">
        <v>99</v>
      </c>
      <c r="I732" s="3">
        <f>H732-G732</f>
        <v/>
      </c>
      <c r="J732" s="4">
        <f>IF(G732=0,"",(H732-G732)/G732)</f>
        <v/>
      </c>
      <c r="K732" s="4">
        <f>IF(G732=0,"",(H732-G732*0.891738)/(G732*0.891738))</f>
        <v/>
      </c>
      <c r="L732" s="3" t="n">
        <v>0</v>
      </c>
      <c r="M732" s="3" t="n">
        <v>0</v>
      </c>
      <c r="N732" s="3" t="n">
        <v>-3</v>
      </c>
      <c r="O732" s="3" t="n">
        <v>0</v>
      </c>
      <c r="P732" s="3" t="n">
        <v>0</v>
      </c>
      <c r="Q732" s="3">
        <f>SUM(L732:P732)-I732</f>
        <v/>
      </c>
    </row>
    <row r="733">
      <c r="A733" s="2" t="inlineStr">
        <is>
          <t>corey-wagner</t>
        </is>
      </c>
      <c r="B733" s="2" t="inlineStr">
        <is>
          <t>Corey Wagner</t>
        </is>
      </c>
      <c r="C733" s="2" t="inlineStr">
        <is>
          <t>Fremantle</t>
        </is>
      </c>
      <c r="D733" s="2" t="inlineStr">
        <is>
          <t>SD</t>
        </is>
      </c>
      <c r="E733" s="2" t="n">
        <v>29</v>
      </c>
      <c r="F733" s="2" t="inlineStr">
        <is>
          <t>National pick 43</t>
        </is>
      </c>
      <c r="G733" s="3" t="n">
        <v>20</v>
      </c>
      <c r="H733" s="3" t="n">
        <v>18</v>
      </c>
      <c r="I733" s="3">
        <f>H733-G733</f>
        <v/>
      </c>
      <c r="J733" s="4">
        <f>IF(G733=0,"",(H733-G733)/G733)</f>
        <v/>
      </c>
      <c r="K733" s="4">
        <f>IF(G733=0,"",(H733-G733*0.891738)/(G733*0.891738))</f>
        <v/>
      </c>
      <c r="L733" s="3" t="n">
        <v>0</v>
      </c>
      <c r="M733" s="3" t="n">
        <v>0</v>
      </c>
      <c r="N733" s="3" t="n">
        <v>-2</v>
      </c>
      <c r="O733" s="3" t="n">
        <v>0</v>
      </c>
      <c r="P733" s="3" t="n">
        <v>0</v>
      </c>
      <c r="Q733" s="3">
        <f>SUM(L733:P733)-I733</f>
        <v/>
      </c>
    </row>
    <row r="734">
      <c r="A734" s="2" t="inlineStr">
        <is>
          <t>harry-schoenberg</t>
        </is>
      </c>
      <c r="B734" s="2" t="inlineStr">
        <is>
          <t>Harry Schoenberg</t>
        </is>
      </c>
      <c r="C734" s="2" t="inlineStr">
        <is>
          <t>Adelaide</t>
        </is>
      </c>
      <c r="D734" s="2" t="inlineStr">
        <is>
          <t>MID</t>
        </is>
      </c>
      <c r="E734" s="2" t="n">
        <v>25</v>
      </c>
      <c r="F734" s="2" t="inlineStr">
        <is>
          <t>National pick 24</t>
        </is>
      </c>
      <c r="G734" s="3" t="n">
        <v>50</v>
      </c>
      <c r="H734" s="3" t="n">
        <v>48</v>
      </c>
      <c r="I734" s="3">
        <f>H734-G734</f>
        <v/>
      </c>
      <c r="J734" s="4">
        <f>IF(G734=0,"",(H734-G734)/G734)</f>
        <v/>
      </c>
      <c r="K734" s="4">
        <f>IF(G734=0,"",(H734-G734*0.891738)/(G734*0.891738))</f>
        <v/>
      </c>
      <c r="L734" s="3" t="n">
        <v>0</v>
      </c>
      <c r="M734" s="3" t="n">
        <v>0</v>
      </c>
      <c r="N734" s="3" t="n">
        <v>-2</v>
      </c>
      <c r="O734" s="3" t="n">
        <v>0</v>
      </c>
      <c r="P734" s="3" t="n">
        <v>0</v>
      </c>
      <c r="Q734" s="3">
        <f>SUM(L734:P734)-I734</f>
        <v/>
      </c>
    </row>
    <row r="735">
      <c r="A735" s="2" t="inlineStr">
        <is>
          <t>tom-lynch-1</t>
        </is>
      </c>
      <c r="B735" s="2" t="inlineStr">
        <is>
          <t>Tom Lynch</t>
        </is>
      </c>
      <c r="C735" s="2" t="inlineStr">
        <is>
          <t>Richmond</t>
        </is>
      </c>
      <c r="D735" s="2" t="inlineStr">
        <is>
          <t>KPF</t>
        </is>
      </c>
      <c r="E735" s="2" t="n">
        <v>34</v>
      </c>
      <c r="F735" s="2" t="inlineStr">
        <is>
          <t>National pick 11</t>
        </is>
      </c>
      <c r="G735" s="3" t="n">
        <v>50</v>
      </c>
      <c r="H735" s="3" t="n">
        <v>48</v>
      </c>
      <c r="I735" s="3">
        <f>H735-G735</f>
        <v/>
      </c>
      <c r="J735" s="4">
        <f>IF(G735=0,"",(H735-G735)/G735)</f>
        <v/>
      </c>
      <c r="K735" s="4">
        <f>IF(G735=0,"",(H735-G735*0.891738)/(G735*0.891738))</f>
        <v/>
      </c>
      <c r="L735" s="3" t="n">
        <v>0</v>
      </c>
      <c r="M735" s="3" t="n">
        <v>0</v>
      </c>
      <c r="N735" s="3" t="n">
        <v>-2</v>
      </c>
      <c r="O735" s="3" t="n">
        <v>0</v>
      </c>
      <c r="P735" s="3" t="n">
        <v>0</v>
      </c>
      <c r="Q735" s="3">
        <f>SUM(L735:P735)-I735</f>
        <v/>
      </c>
    </row>
    <row r="736">
      <c r="A736" s="2" t="inlineStr">
        <is>
          <t>jamie-elliott</t>
        </is>
      </c>
      <c r="B736" s="2" t="inlineStr">
        <is>
          <t>Jamie Elliott</t>
        </is>
      </c>
      <c r="C736" s="2" t="inlineStr">
        <is>
          <t>Collingwood</t>
        </is>
      </c>
      <c r="D736" s="2" t="inlineStr">
        <is>
          <t>SF</t>
        </is>
      </c>
      <c r="E736" s="2" t="n">
        <v>34</v>
      </c>
      <c r="F736" s="2" t="inlineStr">
        <is>
          <t>National pick 39</t>
        </is>
      </c>
      <c r="G736" s="3" t="n">
        <v>19</v>
      </c>
      <c r="H736" s="3" t="n">
        <v>18</v>
      </c>
      <c r="I736" s="3">
        <f>H736-G736</f>
        <v/>
      </c>
      <c r="J736" s="4">
        <f>IF(G736=0,"",(H736-G736)/G736)</f>
        <v/>
      </c>
      <c r="K736" s="4">
        <f>IF(G736=0,"",(H736-G736*0.891738)/(G736*0.891738))</f>
        <v/>
      </c>
      <c r="L736" s="3" t="n">
        <v>0</v>
      </c>
      <c r="M736" s="3" t="n">
        <v>0</v>
      </c>
      <c r="N736" s="3" t="n">
        <v>-1</v>
      </c>
      <c r="O736" s="3" t="n">
        <v>0</v>
      </c>
      <c r="P736" s="3" t="n">
        <v>0</v>
      </c>
      <c r="Q736" s="3">
        <f>SUM(L736:P736)-I736</f>
        <v/>
      </c>
    </row>
    <row r="737">
      <c r="A737" s="2" t="inlineStr">
        <is>
          <t>riley-garcia</t>
        </is>
      </c>
      <c r="B737" s="2" t="inlineStr">
        <is>
          <t>Riley Garcia</t>
        </is>
      </c>
      <c r="C737" s="2" t="inlineStr">
        <is>
          <t>Western Bulldogs</t>
        </is>
      </c>
      <c r="D737" s="2" t="inlineStr">
        <is>
          <t>SF</t>
        </is>
      </c>
      <c r="E737" s="2" t="n">
        <v>25</v>
      </c>
      <c r="F737" s="2" t="inlineStr">
        <is>
          <t>National pick 61</t>
        </is>
      </c>
      <c r="G737" s="3" t="n">
        <v>67</v>
      </c>
      <c r="H737" s="3" t="n">
        <v>59</v>
      </c>
      <c r="I737" s="3">
        <f>H737-G737</f>
        <v/>
      </c>
      <c r="J737" s="4">
        <f>IF(G737=0,"",(H737-G737)/G737)</f>
        <v/>
      </c>
      <c r="K737" s="4">
        <f>IF(G737=0,"",(H737-G737*0.891738)/(G737*0.891738))</f>
        <v/>
      </c>
      <c r="L737" s="3" t="n">
        <v>0</v>
      </c>
      <c r="M737" s="3" t="n">
        <v>0</v>
      </c>
      <c r="N737" s="3" t="n">
        <v>-8</v>
      </c>
      <c r="O737" s="3" t="n">
        <v>0</v>
      </c>
      <c r="P737" s="3" t="n">
        <v>0</v>
      </c>
      <c r="Q737" s="3">
        <f>SUM(L737:P737)-I737</f>
        <v/>
      </c>
    </row>
    <row r="738">
      <c r="A738" s="2" t="inlineStr">
        <is>
          <t>ned-reeves</t>
        </is>
      </c>
      <c r="B738" s="2" t="inlineStr">
        <is>
          <t>Ned Reeves</t>
        </is>
      </c>
      <c r="C738" s="2" t="inlineStr">
        <is>
          <t>Hawthorn</t>
        </is>
      </c>
      <c r="D738" s="2" t="inlineStr">
        <is>
          <t>RUCK</t>
        </is>
      </c>
      <c r="E738" s="2" t="n">
        <v>28</v>
      </c>
      <c r="F738" s="2" t="inlineStr">
        <is>
          <t>SSP (pool)</t>
        </is>
      </c>
      <c r="G738" s="3" t="n">
        <v>249</v>
      </c>
      <c r="H738" s="3" t="n">
        <v>221</v>
      </c>
      <c r="I738" s="3">
        <f>H738-G738</f>
        <v/>
      </c>
      <c r="J738" s="4">
        <f>IF(G738=0,"",(H738-G738)/G738)</f>
        <v/>
      </c>
      <c r="K738" s="4">
        <f>IF(G738=0,"",(H738-G738*0.891738)/(G738*0.891738))</f>
        <v/>
      </c>
      <c r="L738" s="3" t="n">
        <v>-1</v>
      </c>
      <c r="M738" s="3" t="n">
        <v>0</v>
      </c>
      <c r="N738" s="3" t="n">
        <v>-27</v>
      </c>
      <c r="O738" s="3" t="n">
        <v>0</v>
      </c>
      <c r="P738" s="3" t="n">
        <v>0</v>
      </c>
      <c r="Q738" s="3">
        <f>SUM(L738:P738)-I738</f>
        <v/>
      </c>
    </row>
    <row r="739">
      <c r="A739" s="2" t="inlineStr">
        <is>
          <t>jackson-mead</t>
        </is>
      </c>
      <c r="B739" s="2" t="inlineStr">
        <is>
          <t>Jackson Mead</t>
        </is>
      </c>
      <c r="C739" s="2" t="inlineStr">
        <is>
          <t>Port Adelaide</t>
        </is>
      </c>
      <c r="D739" s="2" t="inlineStr">
        <is>
          <t>SF</t>
        </is>
      </c>
      <c r="E739" s="2" t="n">
        <v>25</v>
      </c>
      <c r="F739" s="2" t="inlineStr">
        <is>
          <t>National pick 25</t>
        </is>
      </c>
      <c r="G739" s="3" t="n">
        <v>29</v>
      </c>
      <c r="H739" s="3" t="n">
        <v>27</v>
      </c>
      <c r="I739" s="3">
        <f>H739-G739</f>
        <v/>
      </c>
      <c r="J739" s="4">
        <f>IF(G739=0,"",(H739-G739)/G739)</f>
        <v/>
      </c>
      <c r="K739" s="4">
        <f>IF(G739=0,"",(H739-G739*0.891738)/(G739*0.891738))</f>
        <v/>
      </c>
      <c r="L739" s="3" t="n">
        <v>0</v>
      </c>
      <c r="M739" s="3" t="n">
        <v>0</v>
      </c>
      <c r="N739" s="3" t="n">
        <v>-2</v>
      </c>
      <c r="O739" s="3" t="n">
        <v>0</v>
      </c>
      <c r="P739" s="3" t="n">
        <v>0</v>
      </c>
      <c r="Q739" s="3">
        <f>SUM(L739:P739)-I739</f>
        <v/>
      </c>
    </row>
    <row r="740">
      <c r="A740" s="2" t="inlineStr">
        <is>
          <t>ryan-byrnes</t>
        </is>
      </c>
      <c r="B740" s="2" t="inlineStr">
        <is>
          <t>Ryan Byrnes</t>
        </is>
      </c>
      <c r="C740" s="2" t="inlineStr">
        <is>
          <t>St Kilda</t>
        </is>
      </c>
      <c r="D740" s="2" t="inlineStr">
        <is>
          <t>SD</t>
        </is>
      </c>
      <c r="E740" s="2" t="n">
        <v>25</v>
      </c>
      <c r="F740" s="2" t="inlineStr">
        <is>
          <t>National pick 51</t>
        </is>
      </c>
      <c r="G740" s="3" t="n">
        <v>64</v>
      </c>
      <c r="H740" s="3" t="n">
        <v>55</v>
      </c>
      <c r="I740" s="3">
        <f>H740-G740</f>
        <v/>
      </c>
      <c r="J740" s="4">
        <f>IF(G740=0,"",(H740-G740)/G740)</f>
        <v/>
      </c>
      <c r="K740" s="4">
        <f>IF(G740=0,"",(H740-G740*0.891738)/(G740*0.891738))</f>
        <v/>
      </c>
      <c r="L740" s="3" t="n">
        <v>-2</v>
      </c>
      <c r="M740" s="3" t="n">
        <v>0</v>
      </c>
      <c r="N740" s="3" t="n">
        <v>-7</v>
      </c>
      <c r="O740" s="3" t="n">
        <v>0</v>
      </c>
      <c r="P740" s="3" t="n">
        <v>0</v>
      </c>
      <c r="Q740" s="3">
        <f>SUM(L740:P740)-I740</f>
        <v/>
      </c>
    </row>
    <row r="741">
      <c r="A741" s="2" t="inlineStr">
        <is>
          <t>sam-switkowski</t>
        </is>
      </c>
      <c r="B741" s="2" t="inlineStr">
        <is>
          <t>Sam Switkowski</t>
        </is>
      </c>
      <c r="C741" s="2" t="inlineStr">
        <is>
          <t>Fremantle</t>
        </is>
      </c>
      <c r="D741" s="2" t="inlineStr">
        <is>
          <t>SF</t>
        </is>
      </c>
      <c r="E741" s="2" t="n">
        <v>30</v>
      </c>
      <c r="F741" s="2" t="inlineStr">
        <is>
          <t>National pick 72</t>
        </is>
      </c>
      <c r="G741" s="3" t="n">
        <v>15</v>
      </c>
      <c r="H741" s="3" t="n">
        <v>13</v>
      </c>
      <c r="I741" s="3">
        <f>H741-G741</f>
        <v/>
      </c>
      <c r="J741" s="4">
        <f>IF(G741=0,"",(H741-G741)/G741)</f>
        <v/>
      </c>
      <c r="K741" s="4">
        <f>IF(G741=0,"",(H741-G741*0.891738)/(G741*0.891738))</f>
        <v/>
      </c>
      <c r="L741" s="3" t="n">
        <v>0</v>
      </c>
      <c r="M741" s="3" t="n">
        <v>0</v>
      </c>
      <c r="N741" s="3" t="n">
        <v>-2</v>
      </c>
      <c r="O741" s="3" t="n">
        <v>0</v>
      </c>
      <c r="P741" s="3" t="n">
        <v>0</v>
      </c>
      <c r="Q741" s="3">
        <f>SUM(L741:P741)-I741</f>
        <v/>
      </c>
    </row>
    <row r="742">
      <c r="A742" s="2" t="inlineStr">
        <is>
          <t>brody-mihocek</t>
        </is>
      </c>
      <c r="B742" s="2" t="inlineStr">
        <is>
          <t>Brody Mihocek</t>
        </is>
      </c>
      <c r="C742" s="2" t="inlineStr">
        <is>
          <t>Melbourne</t>
        </is>
      </c>
      <c r="D742" s="2" t="inlineStr">
        <is>
          <t>KPF</t>
        </is>
      </c>
      <c r="E742" s="2" t="n">
        <v>33</v>
      </c>
      <c r="F742" s="2" t="inlineStr">
        <is>
          <t>Rookie pick 14</t>
        </is>
      </c>
      <c r="G742" s="3" t="n">
        <v>10</v>
      </c>
      <c r="H742" s="3" t="n">
        <v>10</v>
      </c>
      <c r="I742" s="3">
        <f>H742-G742</f>
        <v/>
      </c>
      <c r="J742" s="4">
        <f>IF(G742=0,"",(H742-G742)/G742)</f>
        <v/>
      </c>
      <c r="K742" s="4">
        <f>IF(G742=0,"",(H742-G742*0.891738)/(G742*0.891738))</f>
        <v/>
      </c>
      <c r="L742" s="3" t="n">
        <v>0</v>
      </c>
      <c r="M742" s="3" t="n">
        <v>0</v>
      </c>
      <c r="N742" s="3" t="n">
        <v>0</v>
      </c>
      <c r="O742" s="3" t="n">
        <v>0</v>
      </c>
      <c r="P742" s="3" t="n">
        <v>0</v>
      </c>
      <c r="Q742" s="3">
        <f>SUM(L742:P742)-I742</f>
        <v/>
      </c>
    </row>
    <row r="743">
      <c r="A743" s="2" t="inlineStr">
        <is>
          <t>jack-bowes</t>
        </is>
      </c>
      <c r="B743" s="2" t="inlineStr">
        <is>
          <t>Jack Bowes</t>
        </is>
      </c>
      <c r="C743" s="2" t="inlineStr">
        <is>
          <t>Geelong</t>
        </is>
      </c>
      <c r="D743" s="2" t="inlineStr">
        <is>
          <t>MID</t>
        </is>
      </c>
      <c r="E743" s="2" t="n">
        <v>28</v>
      </c>
      <c r="F743" s="2" t="inlineStr">
        <is>
          <t>National pick 10</t>
        </is>
      </c>
      <c r="G743" s="3" t="n">
        <v>97</v>
      </c>
      <c r="H743" s="3" t="n">
        <v>93</v>
      </c>
      <c r="I743" s="3">
        <f>H743-G743</f>
        <v/>
      </c>
      <c r="J743" s="4">
        <f>IF(G743=0,"",(H743-G743)/G743)</f>
        <v/>
      </c>
      <c r="K743" s="4">
        <f>IF(G743=0,"",(H743-G743*0.891738)/(G743*0.891738))</f>
        <v/>
      </c>
      <c r="L743" s="3" t="n">
        <v>0</v>
      </c>
      <c r="M743" s="3" t="n">
        <v>0</v>
      </c>
      <c r="N743" s="3" t="n">
        <v>-4</v>
      </c>
      <c r="O743" s="3" t="n">
        <v>0</v>
      </c>
      <c r="P743" s="3" t="n">
        <v>0</v>
      </c>
      <c r="Q743" s="3">
        <f>SUM(L743:P743)-I743</f>
        <v/>
      </c>
    </row>
    <row r="744">
      <c r="A744" s="2" t="inlineStr">
        <is>
          <t>callum-ah-chee</t>
        </is>
      </c>
      <c r="B744" s="2" t="inlineStr">
        <is>
          <t>Callum Ah Chee</t>
        </is>
      </c>
      <c r="C744" s="2" t="inlineStr">
        <is>
          <t>Adelaide</t>
        </is>
      </c>
      <c r="D744" s="2" t="inlineStr">
        <is>
          <t>SF</t>
        </is>
      </c>
      <c r="E744" s="2" t="n">
        <v>29</v>
      </c>
      <c r="F744" s="2" t="inlineStr">
        <is>
          <t>National pick 8</t>
        </is>
      </c>
      <c r="G744" s="3" t="n">
        <v>66</v>
      </c>
      <c r="H744" s="3" t="n">
        <v>64</v>
      </c>
      <c r="I744" s="3">
        <f>H744-G744</f>
        <v/>
      </c>
      <c r="J744" s="4">
        <f>IF(G744=0,"",(H744-G744)/G744)</f>
        <v/>
      </c>
      <c r="K744" s="4">
        <f>IF(G744=0,"",(H744-G744*0.891738)/(G744*0.891738))</f>
        <v/>
      </c>
      <c r="L744" s="3" t="n">
        <v>0</v>
      </c>
      <c r="M744" s="3" t="n">
        <v>0</v>
      </c>
      <c r="N744" s="3" t="n">
        <v>-2</v>
      </c>
      <c r="O744" s="3" t="n">
        <v>0</v>
      </c>
      <c r="P744" s="3" t="n">
        <v>0</v>
      </c>
      <c r="Q744" s="3">
        <f>SUM(L744:P744)-I744</f>
        <v/>
      </c>
    </row>
    <row r="745">
      <c r="A745" s="2" t="inlineStr">
        <is>
          <t>brandon-zerk-thatcher</t>
        </is>
      </c>
      <c r="B745" s="2" t="inlineStr">
        <is>
          <t>Brandon Zerk-Thatcher</t>
        </is>
      </c>
      <c r="C745" s="2" t="inlineStr">
        <is>
          <t>Essendon</t>
        </is>
      </c>
      <c r="D745" s="2" t="inlineStr">
        <is>
          <t>KPD</t>
        </is>
      </c>
      <c r="E745" s="2" t="n">
        <v>28</v>
      </c>
      <c r="F745" s="2" t="inlineStr">
        <is>
          <t>National pick 65</t>
        </is>
      </c>
      <c r="G745" s="3" t="n">
        <v>48</v>
      </c>
      <c r="H745" s="3" t="n">
        <v>43</v>
      </c>
      <c r="I745" s="3">
        <f>H745-G745</f>
        <v/>
      </c>
      <c r="J745" s="4">
        <f>IF(G745=0,"",(H745-G745)/G745)</f>
        <v/>
      </c>
      <c r="K745" s="4">
        <f>IF(G745=0,"",(H745-G745*0.891738)/(G745*0.891738))</f>
        <v/>
      </c>
      <c r="L745" s="3" t="n">
        <v>0</v>
      </c>
      <c r="M745" s="3" t="n">
        <v>0</v>
      </c>
      <c r="N745" s="3" t="n">
        <v>-5</v>
      </c>
      <c r="O745" s="3" t="n">
        <v>0</v>
      </c>
      <c r="P745" s="3" t="n">
        <v>0</v>
      </c>
      <c r="Q745" s="3">
        <f>SUM(L745:P745)-I745</f>
        <v/>
      </c>
    </row>
    <row r="746">
      <c r="A746" s="2" t="inlineStr">
        <is>
          <t>chayce-jones</t>
        </is>
      </c>
      <c r="B746" s="2" t="inlineStr">
        <is>
          <t>Chayce Jones</t>
        </is>
      </c>
      <c r="C746" s="2" t="inlineStr">
        <is>
          <t>Adelaide</t>
        </is>
      </c>
      <c r="D746" s="2" t="inlineStr">
        <is>
          <t>SD</t>
        </is>
      </c>
      <c r="E746" s="2" t="n">
        <v>26</v>
      </c>
      <c r="F746" s="2" t="inlineStr">
        <is>
          <t>National pick 9</t>
        </is>
      </c>
      <c r="G746" s="3" t="n">
        <v>48</v>
      </c>
      <c r="H746" s="3" t="n">
        <v>48</v>
      </c>
      <c r="I746" s="3">
        <f>H746-G746</f>
        <v/>
      </c>
      <c r="J746" s="4">
        <f>IF(G746=0,"",(H746-G746)/G746)</f>
        <v/>
      </c>
      <c r="K746" s="4">
        <f>IF(G746=0,"",(H746-G746*0.891738)/(G746*0.891738))</f>
        <v/>
      </c>
      <c r="L746" s="3" t="n">
        <v>0</v>
      </c>
      <c r="M746" s="3" t="n">
        <v>0</v>
      </c>
      <c r="N746" s="3" t="n">
        <v>0</v>
      </c>
      <c r="O746" s="3" t="n">
        <v>0</v>
      </c>
      <c r="P746" s="3" t="n">
        <v>0</v>
      </c>
      <c r="Q746" s="3">
        <f>SUM(L746:P746)-I746</f>
        <v/>
      </c>
    </row>
    <row r="747">
      <c r="A747" s="2" t="inlineStr">
        <is>
          <t>sam-sturt</t>
        </is>
      </c>
      <c r="B747" s="2" t="inlineStr">
        <is>
          <t>Sam Sturt</t>
        </is>
      </c>
      <c r="C747" s="2" t="inlineStr">
        <is>
          <t>Fremantle</t>
        </is>
      </c>
      <c r="D747" s="2" t="inlineStr">
        <is>
          <t>SF</t>
        </is>
      </c>
      <c r="E747" s="2" t="n">
        <v>26</v>
      </c>
      <c r="F747" s="2" t="inlineStr">
        <is>
          <t>National pick 17</t>
        </is>
      </c>
      <c r="G747" s="3" t="n">
        <v>40</v>
      </c>
      <c r="H747" s="3" t="n">
        <v>39</v>
      </c>
      <c r="I747" s="3">
        <f>H747-G747</f>
        <v/>
      </c>
      <c r="J747" s="4">
        <f>IF(G747=0,"",(H747-G747)/G747)</f>
        <v/>
      </c>
      <c r="K747" s="4">
        <f>IF(G747=0,"",(H747-G747*0.891738)/(G747*0.891738))</f>
        <v/>
      </c>
      <c r="L747" s="3" t="n">
        <v>0</v>
      </c>
      <c r="M747" s="3" t="n">
        <v>0</v>
      </c>
      <c r="N747" s="3" t="n">
        <v>-1</v>
      </c>
      <c r="O747" s="3" t="n">
        <v>0</v>
      </c>
      <c r="P747" s="3" t="n">
        <v>0</v>
      </c>
      <c r="Q747" s="3">
        <f>SUM(L747:P747)-I747</f>
        <v/>
      </c>
    </row>
    <row r="748">
      <c r="A748" s="2" t="inlineStr">
        <is>
          <t>jordon-butts</t>
        </is>
      </c>
      <c r="B748" s="2" t="inlineStr">
        <is>
          <t>Jordon Butts</t>
        </is>
      </c>
      <c r="C748" s="2" t="inlineStr">
        <is>
          <t>Adelaide</t>
        </is>
      </c>
      <c r="D748" s="2" t="inlineStr">
        <is>
          <t>KPD</t>
        </is>
      </c>
      <c r="E748" s="2" t="n">
        <v>27</v>
      </c>
      <c r="F748" s="2" t="inlineStr">
        <is>
          <t>Rookie pick 17</t>
        </is>
      </c>
      <c r="G748" s="3" t="n">
        <v>15</v>
      </c>
      <c r="H748" s="3" t="n">
        <v>15</v>
      </c>
      <c r="I748" s="3">
        <f>H748-G748</f>
        <v/>
      </c>
      <c r="J748" s="4">
        <f>IF(G748=0,"",(H748-G748)/G748)</f>
        <v/>
      </c>
      <c r="K748" s="4">
        <f>IF(G748=0,"",(H748-G748*0.891738)/(G748*0.891738))</f>
        <v/>
      </c>
      <c r="L748" s="3" t="n">
        <v>0</v>
      </c>
      <c r="M748" s="3" t="n">
        <v>0</v>
      </c>
      <c r="N748" s="3" t="n">
        <v>0</v>
      </c>
      <c r="O748" s="3" t="n">
        <v>0</v>
      </c>
      <c r="P748" s="3" t="n">
        <v>0</v>
      </c>
      <c r="Q748" s="3">
        <f>SUM(L748:P748)-I748</f>
        <v/>
      </c>
    </row>
    <row r="749">
      <c r="A749" s="2" t="inlineStr">
        <is>
          <t>callum-brown-ire</t>
        </is>
      </c>
      <c r="B749" s="2" t="inlineStr">
        <is>
          <t>Callum M. Brown</t>
        </is>
      </c>
      <c r="C749" s="2" t="inlineStr">
        <is>
          <t>GWS</t>
        </is>
      </c>
      <c r="D749" s="2" t="inlineStr">
        <is>
          <t>SF</t>
        </is>
      </c>
      <c r="E749" s="2" t="n">
        <v>26</v>
      </c>
      <c r="F749" s="2" t="inlineStr">
        <is>
          <t>Post-Draft - Ireland (pool)</t>
        </is>
      </c>
      <c r="G749" s="3" t="n">
        <v>35</v>
      </c>
      <c r="H749" s="3" t="n">
        <v>30</v>
      </c>
      <c r="I749" s="3">
        <f>H749-G749</f>
        <v/>
      </c>
      <c r="J749" s="4">
        <f>IF(G749=0,"",(H749-G749)/G749)</f>
        <v/>
      </c>
      <c r="K749" s="4">
        <f>IF(G749=0,"",(H749-G749*0.891738)/(G749*0.891738))</f>
        <v/>
      </c>
      <c r="L749" s="3" t="n">
        <v>-1</v>
      </c>
      <c r="M749" s="3" t="n">
        <v>0</v>
      </c>
      <c r="N749" s="3" t="n">
        <v>-4</v>
      </c>
      <c r="O749" s="3" t="n">
        <v>0</v>
      </c>
      <c r="P749" s="3" t="n">
        <v>0</v>
      </c>
      <c r="Q749" s="3">
        <f>SUM(L749:P749)-I749</f>
        <v/>
      </c>
    </row>
    <row r="750">
      <c r="A750" s="2" t="inlineStr">
        <is>
          <t>changkuoth-jiath</t>
        </is>
      </c>
      <c r="B750" s="2" t="inlineStr">
        <is>
          <t>Changkuoth Jiath</t>
        </is>
      </c>
      <c r="C750" s="2" t="inlineStr">
        <is>
          <t>Melbourne</t>
        </is>
      </c>
      <c r="D750" s="2" t="inlineStr">
        <is>
          <t>SD</t>
        </is>
      </c>
      <c r="E750" s="2" t="n">
        <v>27</v>
      </c>
      <c r="F750" s="2" t="inlineStr">
        <is>
          <t>Post-Draft - Next Gen (pool)</t>
        </is>
      </c>
      <c r="G750" s="3" t="n">
        <v>10</v>
      </c>
      <c r="H750" s="3" t="n">
        <v>9</v>
      </c>
      <c r="I750" s="3">
        <f>H750-G750</f>
        <v/>
      </c>
      <c r="J750" s="4">
        <f>IF(G750=0,"",(H750-G750)/G750)</f>
        <v/>
      </c>
      <c r="K750" s="4">
        <f>IF(G750=0,"",(H750-G750*0.891738)/(G750*0.891738))</f>
        <v/>
      </c>
      <c r="L750" s="3" t="n">
        <v>0</v>
      </c>
      <c r="M750" s="3" t="n">
        <v>0</v>
      </c>
      <c r="N750" s="3" t="n">
        <v>-1</v>
      </c>
      <c r="O750" s="3" t="n">
        <v>0</v>
      </c>
      <c r="P750" s="3" t="n">
        <v>0</v>
      </c>
      <c r="Q750" s="3">
        <f>SUM(L750:P750)-I750</f>
        <v/>
      </c>
    </row>
    <row r="751">
      <c r="A751" s="2" t="inlineStr">
        <is>
          <t>bradley-close</t>
        </is>
      </c>
      <c r="B751" s="2" t="inlineStr">
        <is>
          <t>Bradley Close</t>
        </is>
      </c>
      <c r="C751" s="2" t="inlineStr">
        <is>
          <t>Geelong</t>
        </is>
      </c>
      <c r="D751" s="2" t="inlineStr">
        <is>
          <t>SF</t>
        </is>
      </c>
      <c r="E751" s="2" t="n">
        <v>28</v>
      </c>
      <c r="F751" s="2" t="inlineStr">
        <is>
          <t>Rookie pick 8</t>
        </is>
      </c>
      <c r="G751" s="3" t="n">
        <v>16</v>
      </c>
      <c r="H751" s="3" t="n">
        <v>14</v>
      </c>
      <c r="I751" s="3">
        <f>H751-G751</f>
        <v/>
      </c>
      <c r="J751" s="4">
        <f>IF(G751=0,"",(H751-G751)/G751)</f>
        <v/>
      </c>
      <c r="K751" s="4">
        <f>IF(G751=0,"",(H751-G751*0.891738)/(G751*0.891738))</f>
        <v/>
      </c>
      <c r="L751" s="3" t="n">
        <v>0</v>
      </c>
      <c r="M751" s="3" t="n">
        <v>0</v>
      </c>
      <c r="N751" s="3" t="n">
        <v>-2</v>
      </c>
      <c r="O751" s="3" t="n">
        <v>0</v>
      </c>
      <c r="P751" s="3" t="n">
        <v>0</v>
      </c>
      <c r="Q751" s="3">
        <f>SUM(L751:P751)-I751</f>
        <v/>
      </c>
    </row>
    <row r="752">
      <c r="A752" s="2" t="inlineStr">
        <is>
          <t>isaac-cumming</t>
        </is>
      </c>
      <c r="B752" s="2" t="inlineStr">
        <is>
          <t>Isaac Cumming</t>
        </is>
      </c>
      <c r="C752" s="2" t="inlineStr">
        <is>
          <t>Adelaide</t>
        </is>
      </c>
      <c r="D752" s="2" t="inlineStr">
        <is>
          <t>SD</t>
        </is>
      </c>
      <c r="E752" s="2" t="n">
        <v>28</v>
      </c>
      <c r="F752" s="2" t="inlineStr">
        <is>
          <t>National pick 20</t>
        </is>
      </c>
      <c r="G752" s="3" t="n">
        <v>40</v>
      </c>
      <c r="H752" s="3" t="n">
        <v>39</v>
      </c>
      <c r="I752" s="3">
        <f>H752-G752</f>
        <v/>
      </c>
      <c r="J752" s="4">
        <f>IF(G752=0,"",(H752-G752)/G752)</f>
        <v/>
      </c>
      <c r="K752" s="4">
        <f>IF(G752=0,"",(H752-G752*0.891738)/(G752*0.891738))</f>
        <v/>
      </c>
      <c r="L752" s="3" t="n">
        <v>0</v>
      </c>
      <c r="M752" s="3" t="n">
        <v>0</v>
      </c>
      <c r="N752" s="3" t="n">
        <v>-1</v>
      </c>
      <c r="O752" s="3" t="n">
        <v>0</v>
      </c>
      <c r="P752" s="3" t="n">
        <v>0</v>
      </c>
      <c r="Q752" s="3">
        <f>SUM(L752:P752)-I752</f>
        <v/>
      </c>
    </row>
    <row r="753">
      <c r="A753" s="2" t="inlineStr">
        <is>
          <t>jy-farrar</t>
        </is>
      </c>
      <c r="B753" s="2" t="inlineStr">
        <is>
          <t>Jy Farrar</t>
        </is>
      </c>
      <c r="C753" s="2" t="inlineStr">
        <is>
          <t>Gold Coast</t>
        </is>
      </c>
      <c r="D753" s="2" t="inlineStr">
        <is>
          <t>KPF</t>
        </is>
      </c>
      <c r="E753" s="2" t="n">
        <v>30</v>
      </c>
      <c r="F753" s="2" t="inlineStr">
        <is>
          <t>National pick 59</t>
        </is>
      </c>
      <c r="G753" s="3" t="n">
        <v>11</v>
      </c>
      <c r="H753" s="3" t="n">
        <v>9</v>
      </c>
      <c r="I753" s="3">
        <f>H753-G753</f>
        <v/>
      </c>
      <c r="J753" s="4">
        <f>IF(G753=0,"",(H753-G753)/G753)</f>
        <v/>
      </c>
      <c r="K753" s="4">
        <f>IF(G753=0,"",(H753-G753*0.891738)/(G753*0.891738))</f>
        <v/>
      </c>
      <c r="L753" s="3" t="n">
        <v>-1</v>
      </c>
      <c r="M753" s="3" t="n">
        <v>0</v>
      </c>
      <c r="N753" s="3" t="n">
        <v>-1</v>
      </c>
      <c r="O753" s="3" t="n">
        <v>0</v>
      </c>
      <c r="P753" s="3" t="n">
        <v>0</v>
      </c>
      <c r="Q753" s="3">
        <f>SUM(L753:P753)-I753</f>
        <v/>
      </c>
    </row>
    <row r="754">
      <c r="A754" s="2" t="inlineStr">
        <is>
          <t>hunter-clark</t>
        </is>
      </c>
      <c r="B754" s="2" t="inlineStr">
        <is>
          <t>Hunter Clark</t>
        </is>
      </c>
      <c r="C754" s="2" t="inlineStr">
        <is>
          <t>St Kilda</t>
        </is>
      </c>
      <c r="D754" s="2" t="inlineStr">
        <is>
          <t>SD</t>
        </is>
      </c>
      <c r="E754" s="2" t="n">
        <v>27</v>
      </c>
      <c r="F754" s="2" t="inlineStr">
        <is>
          <t>National pick 7</t>
        </is>
      </c>
      <c r="G754" s="3" t="n">
        <v>48</v>
      </c>
      <c r="H754" s="3" t="n">
        <v>47</v>
      </c>
      <c r="I754" s="3">
        <f>H754-G754</f>
        <v/>
      </c>
      <c r="J754" s="4">
        <f>IF(G754=0,"",(H754-G754)/G754)</f>
        <v/>
      </c>
      <c r="K754" s="4">
        <f>IF(G754=0,"",(H754-G754*0.891738)/(G754*0.891738))</f>
        <v/>
      </c>
      <c r="L754" s="3" t="n">
        <v>0</v>
      </c>
      <c r="M754" s="3" t="n">
        <v>0</v>
      </c>
      <c r="N754" s="3" t="n">
        <v>-1</v>
      </c>
      <c r="O754" s="3" t="n">
        <v>0</v>
      </c>
      <c r="P754" s="3" t="n">
        <v>0</v>
      </c>
      <c r="Q754" s="3">
        <f>SUM(L754:P754)-I754</f>
        <v/>
      </c>
    </row>
    <row r="755">
      <c r="A755" s="2" t="inlineStr">
        <is>
          <t>mark-o-connor</t>
        </is>
      </c>
      <c r="B755" s="2" t="inlineStr">
        <is>
          <t>Mark O'Connor</t>
        </is>
      </c>
      <c r="C755" s="2" t="inlineStr">
        <is>
          <t>Geelong</t>
        </is>
      </c>
      <c r="D755" s="2" t="inlineStr">
        <is>
          <t>SD</t>
        </is>
      </c>
      <c r="E755" s="2" t="n">
        <v>29</v>
      </c>
      <c r="F755" s="2" t="inlineStr">
        <is>
          <t>Post-Draft - Ireland (pool)</t>
        </is>
      </c>
      <c r="G755" s="3" t="n">
        <v>10</v>
      </c>
      <c r="H755" s="3" t="n">
        <v>9</v>
      </c>
      <c r="I755" s="3">
        <f>H755-G755</f>
        <v/>
      </c>
      <c r="J755" s="4">
        <f>IF(G755=0,"",(H755-G755)/G755)</f>
        <v/>
      </c>
      <c r="K755" s="4">
        <f>IF(G755=0,"",(H755-G755*0.891738)/(G755*0.891738))</f>
        <v/>
      </c>
      <c r="L755" s="3" t="n">
        <v>0</v>
      </c>
      <c r="M755" s="3" t="n">
        <v>0</v>
      </c>
      <c r="N755" s="3" t="n">
        <v>-1</v>
      </c>
      <c r="O755" s="3" t="n">
        <v>0</v>
      </c>
      <c r="P755" s="3" t="n">
        <v>0</v>
      </c>
      <c r="Q755" s="3">
        <f>SUM(L755:P755)-I755</f>
        <v/>
      </c>
    </row>
    <row r="756">
      <c r="A756" s="2" t="inlineStr">
        <is>
          <t>luke-mcdonald</t>
        </is>
      </c>
      <c r="B756" s="2" t="inlineStr">
        <is>
          <t>Luke McDonald</t>
        </is>
      </c>
      <c r="C756" s="2" t="inlineStr">
        <is>
          <t>North Melbourne</t>
        </is>
      </c>
      <c r="D756" s="2" t="inlineStr">
        <is>
          <t>SD</t>
        </is>
      </c>
      <c r="E756" s="2" t="n">
        <v>31</v>
      </c>
      <c r="F756" s="2" t="inlineStr">
        <is>
          <t>National pick 8</t>
        </is>
      </c>
      <c r="G756" s="3" t="n">
        <v>48</v>
      </c>
      <c r="H756" s="3" t="n">
        <v>48</v>
      </c>
      <c r="I756" s="3">
        <f>H756-G756</f>
        <v/>
      </c>
      <c r="J756" s="4">
        <f>IF(G756=0,"",(H756-G756)/G756)</f>
        <v/>
      </c>
      <c r="K756" s="4">
        <f>IF(G756=0,"",(H756-G756*0.891738)/(G756*0.891738))</f>
        <v/>
      </c>
      <c r="L756" s="3" t="n">
        <v>0</v>
      </c>
      <c r="M756" s="3" t="n">
        <v>0</v>
      </c>
      <c r="N756" s="3" t="n">
        <v>0</v>
      </c>
      <c r="O756" s="3" t="n">
        <v>0</v>
      </c>
      <c r="P756" s="3" t="n">
        <v>0</v>
      </c>
      <c r="Q756" s="3">
        <f>SUM(L756:P756)-I756</f>
        <v/>
      </c>
    </row>
    <row r="757">
      <c r="A757" s="2" t="inlineStr">
        <is>
          <t>lincoln-mccarthy</t>
        </is>
      </c>
      <c r="B757" s="2" t="inlineStr">
        <is>
          <t>Lincoln McCarthy</t>
        </is>
      </c>
      <c r="C757" s="2" t="inlineStr">
        <is>
          <t>Brisbane</t>
        </is>
      </c>
      <c r="D757" s="2" t="inlineStr">
        <is>
          <t>SF</t>
        </is>
      </c>
      <c r="E757" s="2" t="n">
        <v>33</v>
      </c>
      <c r="F757" s="2" t="inlineStr">
        <is>
          <t>National pick 73</t>
        </is>
      </c>
      <c r="G757" s="3" t="n">
        <v>10</v>
      </c>
      <c r="H757" s="3" t="n">
        <v>10</v>
      </c>
      <c r="I757" s="3">
        <f>H757-G757</f>
        <v/>
      </c>
      <c r="J757" s="4">
        <f>IF(G757=0,"",(H757-G757)/G757)</f>
        <v/>
      </c>
      <c r="K757" s="4">
        <f>IF(G757=0,"",(H757-G757*0.891738)/(G757*0.891738))</f>
        <v/>
      </c>
      <c r="L757" s="3" t="n">
        <v>0</v>
      </c>
      <c r="M757" s="3" t="n">
        <v>0</v>
      </c>
      <c r="N757" s="3" t="n">
        <v>0</v>
      </c>
      <c r="O757" s="3" t="n">
        <v>0</v>
      </c>
      <c r="P757" s="3" t="n">
        <v>0</v>
      </c>
      <c r="Q757" s="3">
        <f>SUM(L757:P757)-I757</f>
        <v/>
      </c>
    </row>
    <row r="758">
      <c r="A758" s="2" t="inlineStr">
        <is>
          <t>jamie-cripps</t>
        </is>
      </c>
      <c r="B758" s="2" t="inlineStr">
        <is>
          <t>Jamie Cripps</t>
        </is>
      </c>
      <c r="C758" s="2" t="inlineStr">
        <is>
          <t>West Coast</t>
        </is>
      </c>
      <c r="D758" s="2" t="inlineStr">
        <is>
          <t>SF</t>
        </is>
      </c>
      <c r="E758" s="2" t="n">
        <v>34</v>
      </c>
      <c r="F758" s="2" t="inlineStr">
        <is>
          <t>National pick 26</t>
        </is>
      </c>
      <c r="G758" s="3" t="n">
        <v>28</v>
      </c>
      <c r="H758" s="3" t="n">
        <v>27</v>
      </c>
      <c r="I758" s="3">
        <f>H758-G758</f>
        <v/>
      </c>
      <c r="J758" s="4">
        <f>IF(G758=0,"",(H758-G758)/G758)</f>
        <v/>
      </c>
      <c r="K758" s="4">
        <f>IF(G758=0,"",(H758-G758*0.891738)/(G758*0.891738))</f>
        <v/>
      </c>
      <c r="L758" s="3" t="n">
        <v>0</v>
      </c>
      <c r="M758" s="3" t="n">
        <v>0</v>
      </c>
      <c r="N758" s="3" t="n">
        <v>-1</v>
      </c>
      <c r="O758" s="3" t="n">
        <v>0</v>
      </c>
      <c r="P758" s="3" t="n">
        <v>0</v>
      </c>
      <c r="Q758" s="3">
        <f>SUM(L758:P758)-I758</f>
        <v/>
      </c>
    </row>
    <row r="759">
      <c r="A759" s="2" t="inlineStr">
        <is>
          <t>liam-henry</t>
        </is>
      </c>
      <c r="B759" s="2" t="inlineStr">
        <is>
          <t>Liam Henry</t>
        </is>
      </c>
      <c r="C759" s="2" t="inlineStr">
        <is>
          <t>St Kilda</t>
        </is>
      </c>
      <c r="D759" s="2" t="inlineStr">
        <is>
          <t>SF</t>
        </is>
      </c>
      <c r="E759" s="2" t="n">
        <v>25</v>
      </c>
      <c r="F759" s="2" t="inlineStr">
        <is>
          <t>National pick 9</t>
        </is>
      </c>
      <c r="G759" s="3" t="n">
        <v>63</v>
      </c>
      <c r="H759" s="3" t="n">
        <v>62</v>
      </c>
      <c r="I759" s="3">
        <f>H759-G759</f>
        <v/>
      </c>
      <c r="J759" s="4">
        <f>IF(G759=0,"",(H759-G759)/G759)</f>
        <v/>
      </c>
      <c r="K759" s="4">
        <f>IF(G759=0,"",(H759-G759*0.891738)/(G759*0.891738))</f>
        <v/>
      </c>
      <c r="L759" s="3" t="n">
        <v>0</v>
      </c>
      <c r="M759" s="3" t="n">
        <v>0</v>
      </c>
      <c r="N759" s="3" t="n">
        <v>-1</v>
      </c>
      <c r="O759" s="3" t="n">
        <v>0</v>
      </c>
      <c r="P759" s="3" t="n">
        <v>0</v>
      </c>
      <c r="Q759" s="3">
        <f>SUM(L759:P759)-I759</f>
        <v/>
      </c>
    </row>
    <row r="760">
      <c r="A760" s="2" t="inlineStr">
        <is>
          <t>finn-maginness</t>
        </is>
      </c>
      <c r="B760" s="2" t="inlineStr">
        <is>
          <t>Finn Maginness</t>
        </is>
      </c>
      <c r="C760" s="2" t="inlineStr">
        <is>
          <t>Hawthorn</t>
        </is>
      </c>
      <c r="D760" s="2" t="inlineStr">
        <is>
          <t>SF</t>
        </is>
      </c>
      <c r="E760" s="2" t="n">
        <v>25</v>
      </c>
      <c r="F760" s="2" t="inlineStr">
        <is>
          <t>National pick 29</t>
        </is>
      </c>
      <c r="G760" s="3" t="n">
        <v>26</v>
      </c>
      <c r="H760" s="3" t="n">
        <v>24</v>
      </c>
      <c r="I760" s="3">
        <f>H760-G760</f>
        <v/>
      </c>
      <c r="J760" s="4">
        <f>IF(G760=0,"",(H760-G760)/G760)</f>
        <v/>
      </c>
      <c r="K760" s="4">
        <f>IF(G760=0,"",(H760-G760*0.891738)/(G760*0.891738))</f>
        <v/>
      </c>
      <c r="L760" s="3" t="n">
        <v>0</v>
      </c>
      <c r="M760" s="3" t="n">
        <v>0</v>
      </c>
      <c r="N760" s="3" t="n">
        <v>-2</v>
      </c>
      <c r="O760" s="3" t="n">
        <v>0</v>
      </c>
      <c r="P760" s="3" t="n">
        <v>0</v>
      </c>
      <c r="Q760" s="3">
        <f>SUM(L760:P760)-I760</f>
        <v/>
      </c>
    </row>
    <row r="761">
      <c r="A761" s="2" t="inlineStr">
        <is>
          <t>bobby-hill</t>
        </is>
      </c>
      <c r="B761" s="2" t="inlineStr">
        <is>
          <t>Bobby Hill</t>
        </is>
      </c>
      <c r="C761" s="2" t="inlineStr">
        <is>
          <t>Collingwood</t>
        </is>
      </c>
      <c r="D761" s="2" t="inlineStr">
        <is>
          <t>SF</t>
        </is>
      </c>
      <c r="E761" s="2" t="n">
        <v>26</v>
      </c>
      <c r="F761" s="2" t="inlineStr">
        <is>
          <t>National pick 24</t>
        </is>
      </c>
      <c r="G761" s="3" t="n">
        <v>29</v>
      </c>
      <c r="H761" s="3" t="n">
        <v>29</v>
      </c>
      <c r="I761" s="3">
        <f>H761-G761</f>
        <v/>
      </c>
      <c r="J761" s="4">
        <f>IF(G761=0,"",(H761-G761)/G761)</f>
        <v/>
      </c>
      <c r="K761" s="4">
        <f>IF(G761=0,"",(H761-G761*0.891738)/(G761*0.891738))</f>
        <v/>
      </c>
      <c r="L761" s="3" t="n">
        <v>0</v>
      </c>
      <c r="M761" s="3" t="n">
        <v>0</v>
      </c>
      <c r="N761" s="3" t="n">
        <v>0</v>
      </c>
      <c r="O761" s="3" t="n">
        <v>0</v>
      </c>
      <c r="P761" s="3" t="n">
        <v>0</v>
      </c>
      <c r="Q761" s="3">
        <f>SUM(L761:P761)-I761</f>
        <v/>
      </c>
    </row>
    <row r="762">
      <c r="A762" s="2" t="inlineStr">
        <is>
          <t>sam-wicks</t>
        </is>
      </c>
      <c r="B762" s="2" t="inlineStr">
        <is>
          <t>Sam Wicks</t>
        </is>
      </c>
      <c r="C762" s="2" t="inlineStr">
        <is>
          <t>Sydney</t>
        </is>
      </c>
      <c r="D762" s="2" t="inlineStr">
        <is>
          <t>SD</t>
        </is>
      </c>
      <c r="E762" s="2" t="n">
        <v>27</v>
      </c>
      <c r="F762" s="2" t="inlineStr">
        <is>
          <t>Post-Draft - Academy (pool)</t>
        </is>
      </c>
      <c r="G762" s="3" t="n">
        <v>12</v>
      </c>
      <c r="H762" s="3" t="n">
        <v>11</v>
      </c>
      <c r="I762" s="3">
        <f>H762-G762</f>
        <v/>
      </c>
      <c r="J762" s="4">
        <f>IF(G762=0,"",(H762-G762)/G762)</f>
        <v/>
      </c>
      <c r="K762" s="4">
        <f>IF(G762=0,"",(H762-G762*0.891738)/(G762*0.891738))</f>
        <v/>
      </c>
      <c r="L762" s="3" t="n">
        <v>0</v>
      </c>
      <c r="M762" s="3" t="n">
        <v>0</v>
      </c>
      <c r="N762" s="3" t="n">
        <v>-1</v>
      </c>
      <c r="O762" s="3" t="n">
        <v>0</v>
      </c>
      <c r="P762" s="3" t="n">
        <v>0</v>
      </c>
      <c r="Q762" s="3">
        <f>SUM(L762:P762)-I762</f>
        <v/>
      </c>
    </row>
    <row r="763">
      <c r="A763" s="2" t="inlineStr">
        <is>
          <t>ben-long</t>
        </is>
      </c>
      <c r="B763" s="2" t="inlineStr">
        <is>
          <t>Ben Long</t>
        </is>
      </c>
      <c r="C763" s="2" t="inlineStr">
        <is>
          <t>Gold Coast</t>
        </is>
      </c>
      <c r="D763" s="2" t="inlineStr">
        <is>
          <t>SF</t>
        </is>
      </c>
      <c r="E763" s="2" t="n">
        <v>29</v>
      </c>
      <c r="F763" s="2" t="inlineStr">
        <is>
          <t>National pick 25</t>
        </is>
      </c>
      <c r="G763" s="3" t="n">
        <v>28</v>
      </c>
      <c r="H763" s="3" t="n">
        <v>27</v>
      </c>
      <c r="I763" s="3">
        <f>H763-G763</f>
        <v/>
      </c>
      <c r="J763" s="4">
        <f>IF(G763=0,"",(H763-G763)/G763)</f>
        <v/>
      </c>
      <c r="K763" s="4">
        <f>IF(G763=0,"",(H763-G763*0.891738)/(G763*0.891738))</f>
        <v/>
      </c>
      <c r="L763" s="3" t="n">
        <v>0</v>
      </c>
      <c r="M763" s="3" t="n">
        <v>0</v>
      </c>
      <c r="N763" s="3" t="n">
        <v>-1</v>
      </c>
      <c r="O763" s="3" t="n">
        <v>0</v>
      </c>
      <c r="P763" s="3" t="n">
        <v>0</v>
      </c>
      <c r="Q763" s="3">
        <f>SUM(L763:P763)-I763</f>
        <v/>
      </c>
    </row>
    <row r="764">
      <c r="A764" s="2" t="inlineStr">
        <is>
          <t>harry-morrison</t>
        </is>
      </c>
      <c r="B764" s="2" t="inlineStr">
        <is>
          <t>Harry Morrison</t>
        </is>
      </c>
      <c r="C764" s="2" t="inlineStr">
        <is>
          <t>Hawthorn</t>
        </is>
      </c>
      <c r="D764" s="2" t="inlineStr">
        <is>
          <t>MID</t>
        </is>
      </c>
      <c r="E764" s="2" t="n">
        <v>28</v>
      </c>
      <c r="F764" s="2" t="inlineStr">
        <is>
          <t>National pick 73</t>
        </is>
      </c>
      <c r="G764" s="3" t="n">
        <v>21</v>
      </c>
      <c r="H764" s="3" t="n">
        <v>19</v>
      </c>
      <c r="I764" s="3">
        <f>H764-G764</f>
        <v/>
      </c>
      <c r="J764" s="4">
        <f>IF(G764=0,"",(H764-G764)/G764)</f>
        <v/>
      </c>
      <c r="K764" s="4">
        <f>IF(G764=0,"",(H764-G764*0.891738)/(G764*0.891738))</f>
        <v/>
      </c>
      <c r="L764" s="3" t="n">
        <v>0</v>
      </c>
      <c r="M764" s="3" t="n">
        <v>0</v>
      </c>
      <c r="N764" s="3" t="n">
        <v>-2</v>
      </c>
      <c r="O764" s="3" t="n">
        <v>0</v>
      </c>
      <c r="P764" s="3" t="n">
        <v>0</v>
      </c>
      <c r="Q764" s="3">
        <f>SUM(L764:P764)-I764</f>
        <v/>
      </c>
    </row>
    <row r="765">
      <c r="A765" s="2" t="inlineStr">
        <is>
          <t>toby-pink</t>
        </is>
      </c>
      <c r="B765" s="2" t="inlineStr">
        <is>
          <t>Toby Pink</t>
        </is>
      </c>
      <c r="C765" s="2" t="inlineStr">
        <is>
          <t>North Melbourne</t>
        </is>
      </c>
      <c r="D765" s="2" t="inlineStr">
        <is>
          <t>KPD</t>
        </is>
      </c>
      <c r="E765" s="2" t="n">
        <v>28</v>
      </c>
      <c r="F765" s="2" t="inlineStr">
        <is>
          <t>Rookie pick 33</t>
        </is>
      </c>
      <c r="G765" s="3" t="n">
        <v>15</v>
      </c>
      <c r="H765" s="3" t="n">
        <v>15</v>
      </c>
      <c r="I765" s="3">
        <f>H765-G765</f>
        <v/>
      </c>
      <c r="J765" s="4">
        <f>IF(G765=0,"",(H765-G765)/G765)</f>
        <v/>
      </c>
      <c r="K765" s="4">
        <f>IF(G765=0,"",(H765-G765*0.891738)/(G765*0.891738))</f>
        <v/>
      </c>
      <c r="L765" s="3" t="n">
        <v>0</v>
      </c>
      <c r="M765" s="3" t="n">
        <v>0</v>
      </c>
      <c r="N765" s="3" t="n">
        <v>0</v>
      </c>
      <c r="O765" s="3" t="n">
        <v>0</v>
      </c>
      <c r="P765" s="3" t="n">
        <v>0</v>
      </c>
      <c r="Q765" s="3">
        <f>SUM(L765:P765)-I765</f>
        <v/>
      </c>
    </row>
    <row r="766">
      <c r="A766" s="2" t="inlineStr">
        <is>
          <t>ben-mckay</t>
        </is>
      </c>
      <c r="B766" s="2" t="inlineStr">
        <is>
          <t>Ben McKay</t>
        </is>
      </c>
      <c r="C766" s="2" t="inlineStr">
        <is>
          <t>Essendon</t>
        </is>
      </c>
      <c r="D766" s="2" t="inlineStr">
        <is>
          <t>KPD</t>
        </is>
      </c>
      <c r="E766" s="2" t="n">
        <v>29</v>
      </c>
      <c r="F766" s="2" t="inlineStr">
        <is>
          <t>National pick 21</t>
        </is>
      </c>
      <c r="G766" s="3" t="n">
        <v>35</v>
      </c>
      <c r="H766" s="3" t="n">
        <v>34</v>
      </c>
      <c r="I766" s="3">
        <f>H766-G766</f>
        <v/>
      </c>
      <c r="J766" s="4">
        <f>IF(G766=0,"",(H766-G766)/G766)</f>
        <v/>
      </c>
      <c r="K766" s="4">
        <f>IF(G766=0,"",(H766-G766*0.891738)/(G766*0.891738))</f>
        <v/>
      </c>
      <c r="L766" s="3" t="n">
        <v>0</v>
      </c>
      <c r="M766" s="3" t="n">
        <v>0</v>
      </c>
      <c r="N766" s="3" t="n">
        <v>-1</v>
      </c>
      <c r="O766" s="3" t="n">
        <v>0</v>
      </c>
      <c r="P766" s="3" t="n">
        <v>0</v>
      </c>
      <c r="Q766" s="3">
        <f>SUM(L766:P766)-I766</f>
        <v/>
      </c>
    </row>
    <row r="767">
      <c r="A767" s="2" t="inlineStr">
        <is>
          <t>darcy-gardiner</t>
        </is>
      </c>
      <c r="B767" s="2" t="inlineStr">
        <is>
          <t>Darcy Gardiner</t>
        </is>
      </c>
      <c r="C767" s="2" t="inlineStr">
        <is>
          <t>Brisbane</t>
        </is>
      </c>
      <c r="D767" s="2" t="inlineStr">
        <is>
          <t>KPD</t>
        </is>
      </c>
      <c r="E767" s="2" t="n">
        <v>31</v>
      </c>
      <c r="F767" s="2" t="inlineStr">
        <is>
          <t>National pick 22</t>
        </is>
      </c>
      <c r="G767" s="3" t="n">
        <v>33</v>
      </c>
      <c r="H767" s="3" t="n">
        <v>32</v>
      </c>
      <c r="I767" s="3">
        <f>H767-G767</f>
        <v/>
      </c>
      <c r="J767" s="4">
        <f>IF(G767=0,"",(H767-G767)/G767)</f>
        <v/>
      </c>
      <c r="K767" s="4">
        <f>IF(G767=0,"",(H767-G767*0.891738)/(G767*0.891738))</f>
        <v/>
      </c>
      <c r="L767" s="3" t="n">
        <v>0</v>
      </c>
      <c r="M767" s="3" t="n">
        <v>0</v>
      </c>
      <c r="N767" s="3" t="n">
        <v>-1</v>
      </c>
      <c r="O767" s="3" t="n">
        <v>0</v>
      </c>
      <c r="P767" s="3" t="n">
        <v>0</v>
      </c>
      <c r="Q767" s="3">
        <f>SUM(L767:P767)-I767</f>
        <v/>
      </c>
    </row>
    <row r="768">
      <c r="A768" s="2" t="inlineStr">
        <is>
          <t>jack-martin</t>
        </is>
      </c>
      <c r="B768" s="2" t="inlineStr">
        <is>
          <t>Jack Martin</t>
        </is>
      </c>
      <c r="C768" s="2" t="inlineStr">
        <is>
          <t>Geelong</t>
        </is>
      </c>
      <c r="D768" s="2" t="inlineStr">
        <is>
          <t>SF</t>
        </is>
      </c>
      <c r="E768" s="2" t="n">
        <v>32</v>
      </c>
      <c r="F768" s="2" t="inlineStr">
        <is>
          <t>National pick 3</t>
        </is>
      </c>
      <c r="G768" s="3" t="n">
        <v>107</v>
      </c>
      <c r="H768" s="3" t="n">
        <v>109</v>
      </c>
      <c r="I768" s="3">
        <f>H768-G768</f>
        <v/>
      </c>
      <c r="J768" s="4">
        <f>IF(G768=0,"",(H768-G768)/G768)</f>
        <v/>
      </c>
      <c r="K768" s="4">
        <f>IF(G768=0,"",(H768-G768*0.891738)/(G768*0.891738))</f>
        <v/>
      </c>
      <c r="L768" s="3" t="n">
        <v>0</v>
      </c>
      <c r="M768" s="3" t="n">
        <v>0</v>
      </c>
      <c r="N768" s="3" t="n">
        <v>2</v>
      </c>
      <c r="O768" s="3" t="n">
        <v>0</v>
      </c>
      <c r="P768" s="3" t="n">
        <v>0</v>
      </c>
      <c r="Q768" s="3">
        <f>SUM(L768:P768)-I768</f>
        <v/>
      </c>
    </row>
    <row r="769">
      <c r="A769" s="2" t="inlineStr">
        <is>
          <t>aidan-corr</t>
        </is>
      </c>
      <c r="B769" s="2" t="inlineStr">
        <is>
          <t>Aidan Corr</t>
        </is>
      </c>
      <c r="C769" s="2" t="inlineStr">
        <is>
          <t>North Melbourne</t>
        </is>
      </c>
      <c r="D769" s="2" t="inlineStr">
        <is>
          <t>KPD</t>
        </is>
      </c>
      <c r="E769" s="2" t="n">
        <v>32</v>
      </c>
      <c r="F769" s="2" t="inlineStr">
        <is>
          <t>National pick 18</t>
        </is>
      </c>
      <c r="G769" s="3" t="n">
        <v>38</v>
      </c>
      <c r="H769" s="3" t="n">
        <v>36</v>
      </c>
      <c r="I769" s="3">
        <f>H769-G769</f>
        <v/>
      </c>
      <c r="J769" s="4">
        <f>IF(G769=0,"",(H769-G769)/G769)</f>
        <v/>
      </c>
      <c r="K769" s="4">
        <f>IF(G769=0,"",(H769-G769*0.891738)/(G769*0.891738))</f>
        <v/>
      </c>
      <c r="L769" s="3" t="n">
        <v>0</v>
      </c>
      <c r="M769" s="3" t="n">
        <v>0</v>
      </c>
      <c r="N769" s="3" t="n">
        <v>-2</v>
      </c>
      <c r="O769" s="3" t="n">
        <v>0</v>
      </c>
      <c r="P769" s="3" t="n">
        <v>0</v>
      </c>
      <c r="Q769" s="3">
        <f>SUM(L769:P769)-I769</f>
        <v/>
      </c>
    </row>
    <row r="770">
      <c r="A770" s="2" t="inlineStr">
        <is>
          <t>jaeger-o-meara</t>
        </is>
      </c>
      <c r="B770" s="2" t="inlineStr">
        <is>
          <t>Jaeger O'Meara</t>
        </is>
      </c>
      <c r="C770" s="2" t="inlineStr">
        <is>
          <t>Fremantle</t>
        </is>
      </c>
      <c r="D770" s="2" t="inlineStr">
        <is>
          <t>MID</t>
        </is>
      </c>
      <c r="E770" s="2" t="n">
        <v>33</v>
      </c>
      <c r="F770" s="2" t="inlineStr">
        <is>
          <t>National pick 1</t>
        </is>
      </c>
      <c r="G770" s="3" t="n">
        <v>165</v>
      </c>
      <c r="H770" s="3" t="n">
        <v>164</v>
      </c>
      <c r="I770" s="3">
        <f>H770-G770</f>
        <v/>
      </c>
      <c r="J770" s="4">
        <f>IF(G770=0,"",(H770-G770)/G770)</f>
        <v/>
      </c>
      <c r="K770" s="4">
        <f>IF(G770=0,"",(H770-G770*0.891738)/(G770*0.891738))</f>
        <v/>
      </c>
      <c r="L770" s="3" t="n">
        <v>0</v>
      </c>
      <c r="M770" s="3" t="n">
        <v>0</v>
      </c>
      <c r="N770" s="3" t="n">
        <v>-1</v>
      </c>
      <c r="O770" s="3" t="n">
        <v>0</v>
      </c>
      <c r="P770" s="3" t="n">
        <v>0</v>
      </c>
      <c r="Q770" s="3">
        <f>SUM(L770:P770)-I770</f>
        <v/>
      </c>
    </row>
    <row r="771">
      <c r="A771" s="2" t="inlineStr">
        <is>
          <t>rhys-stanley</t>
        </is>
      </c>
      <c r="B771" s="2" t="inlineStr">
        <is>
          <t>Rhys Stanley</t>
        </is>
      </c>
      <c r="C771" s="2" t="inlineStr">
        <is>
          <t>Geelong</t>
        </is>
      </c>
      <c r="D771" s="2" t="inlineStr">
        <is>
          <t>RUCK</t>
        </is>
      </c>
      <c r="E771" s="2" t="n">
        <v>36</v>
      </c>
      <c r="F771" s="2" t="inlineStr">
        <is>
          <t>National pick 47</t>
        </is>
      </c>
      <c r="G771" s="3" t="n">
        <v>28</v>
      </c>
      <c r="H771" s="3" t="n">
        <v>25</v>
      </c>
      <c r="I771" s="3">
        <f>H771-G771</f>
        <v/>
      </c>
      <c r="J771" s="4">
        <f>IF(G771=0,"",(H771-G771)/G771)</f>
        <v/>
      </c>
      <c r="K771" s="4">
        <f>IF(G771=0,"",(H771-G771*0.891738)/(G771*0.891738))</f>
        <v/>
      </c>
      <c r="L771" s="3" t="n">
        <v>0</v>
      </c>
      <c r="M771" s="3" t="n">
        <v>0</v>
      </c>
      <c r="N771" s="3" t="n">
        <v>-3</v>
      </c>
      <c r="O771" s="3" t="n">
        <v>0</v>
      </c>
      <c r="P771" s="3" t="n">
        <v>0</v>
      </c>
      <c r="Q771" s="3">
        <f>SUM(L771:P771)-I771</f>
        <v/>
      </c>
    </row>
    <row r="772">
      <c r="A772" s="2" t="inlineStr">
        <is>
          <t>hugo-ralphsmith</t>
        </is>
      </c>
      <c r="B772" s="2" t="inlineStr">
        <is>
          <t>Hugo Ralphsmith</t>
        </is>
      </c>
      <c r="C772" s="2" t="inlineStr">
        <is>
          <t>Richmond</t>
        </is>
      </c>
      <c r="D772" s="2" t="inlineStr">
        <is>
          <t>MID</t>
        </is>
      </c>
      <c r="E772" s="2" t="n">
        <v>25</v>
      </c>
      <c r="F772" s="2" t="inlineStr">
        <is>
          <t>National pick 45</t>
        </is>
      </c>
      <c r="G772" s="3" t="n">
        <v>51</v>
      </c>
      <c r="H772" s="3" t="n">
        <v>44</v>
      </c>
      <c r="I772" s="3">
        <f>H772-G772</f>
        <v/>
      </c>
      <c r="J772" s="4">
        <f>IF(G772=0,"",(H772-G772)/G772)</f>
        <v/>
      </c>
      <c r="K772" s="4">
        <f>IF(G772=0,"",(H772-G772*0.891738)/(G772*0.891738))</f>
        <v/>
      </c>
      <c r="L772" s="3" t="n">
        <v>-3</v>
      </c>
      <c r="M772" s="3" t="n">
        <v>0</v>
      </c>
      <c r="N772" s="3" t="n">
        <v>-4</v>
      </c>
      <c r="O772" s="3" t="n">
        <v>0</v>
      </c>
      <c r="P772" s="3" t="n">
        <v>0</v>
      </c>
      <c r="Q772" s="3">
        <f>SUM(L772:P772)-I772</f>
        <v/>
      </c>
    </row>
    <row r="773">
      <c r="A773" s="2" t="inlineStr">
        <is>
          <t>malcolm-rosas</t>
        </is>
      </c>
      <c r="B773" s="2" t="inlineStr">
        <is>
          <t>Malcolm Rosas</t>
        </is>
      </c>
      <c r="C773" s="2" t="inlineStr">
        <is>
          <t>Sydney</t>
        </is>
      </c>
      <c r="D773" s="2" t="inlineStr">
        <is>
          <t>SF</t>
        </is>
      </c>
      <c r="E773" s="2" t="n">
        <v>25</v>
      </c>
      <c r="F773" s="2" t="inlineStr">
        <is>
          <t>Rookie pick 14</t>
        </is>
      </c>
      <c r="G773" s="3" t="n">
        <v>26</v>
      </c>
      <c r="H773" s="3" t="n">
        <v>22</v>
      </c>
      <c r="I773" s="3">
        <f>H773-G773</f>
        <v/>
      </c>
      <c r="J773" s="4">
        <f>IF(G773=0,"",(H773-G773)/G773)</f>
        <v/>
      </c>
      <c r="K773" s="4">
        <f>IF(G773=0,"",(H773-G773*0.891738)/(G773*0.891738))</f>
        <v/>
      </c>
      <c r="L773" s="3" t="n">
        <v>-2</v>
      </c>
      <c r="M773" s="3" t="n">
        <v>0</v>
      </c>
      <c r="N773" s="3" t="n">
        <v>-2</v>
      </c>
      <c r="O773" s="3" t="n">
        <v>0</v>
      </c>
      <c r="P773" s="3" t="n">
        <v>0</v>
      </c>
      <c r="Q773" s="3">
        <f>SUM(L773:P773)-I773</f>
        <v/>
      </c>
    </row>
    <row r="774">
      <c r="A774" s="2" t="inlineStr">
        <is>
          <t>laitham-vandermeer</t>
        </is>
      </c>
      <c r="B774" s="2" t="inlineStr">
        <is>
          <t>Laitham Vandermeer</t>
        </is>
      </c>
      <c r="C774" s="2" t="inlineStr">
        <is>
          <t>Western Bulldogs</t>
        </is>
      </c>
      <c r="D774" s="2" t="inlineStr">
        <is>
          <t>SF</t>
        </is>
      </c>
      <c r="E774" s="2" t="n">
        <v>27</v>
      </c>
      <c r="F774" s="2" t="inlineStr">
        <is>
          <t>National pick 37</t>
        </is>
      </c>
      <c r="G774" s="3" t="n">
        <v>20</v>
      </c>
      <c r="H774" s="3" t="n">
        <v>18</v>
      </c>
      <c r="I774" s="3">
        <f>H774-G774</f>
        <v/>
      </c>
      <c r="J774" s="4">
        <f>IF(G774=0,"",(H774-G774)/G774)</f>
        <v/>
      </c>
      <c r="K774" s="4">
        <f>IF(G774=0,"",(H774-G774*0.891738)/(G774*0.891738))</f>
        <v/>
      </c>
      <c r="L774" s="3" t="n">
        <v>0</v>
      </c>
      <c r="M774" s="3" t="n">
        <v>0</v>
      </c>
      <c r="N774" s="3" t="n">
        <v>-2</v>
      </c>
      <c r="O774" s="3" t="n">
        <v>0</v>
      </c>
      <c r="P774" s="3" t="n">
        <v>0</v>
      </c>
      <c r="Q774" s="3">
        <f>SUM(L774:P774)-I774</f>
        <v/>
      </c>
    </row>
    <row r="775">
      <c r="A775" s="2" t="inlineStr">
        <is>
          <t>lachlan-sholl</t>
        </is>
      </c>
      <c r="B775" s="2" t="inlineStr">
        <is>
          <t>Lachlan Sholl</t>
        </is>
      </c>
      <c r="C775" s="2" t="inlineStr">
        <is>
          <t>Adelaide</t>
        </is>
      </c>
      <c r="D775" s="2" t="inlineStr">
        <is>
          <t>MID</t>
        </is>
      </c>
      <c r="E775" s="2" t="n">
        <v>26</v>
      </c>
      <c r="F775" s="2" t="inlineStr">
        <is>
          <t>National pick 64</t>
        </is>
      </c>
      <c r="G775" s="3" t="n">
        <v>153</v>
      </c>
      <c r="H775" s="3" t="n">
        <v>134</v>
      </c>
      <c r="I775" s="3">
        <f>H775-G775</f>
        <v/>
      </c>
      <c r="J775" s="4">
        <f>IF(G775=0,"",(H775-G775)/G775)</f>
        <v/>
      </c>
      <c r="K775" s="4">
        <f>IF(G775=0,"",(H775-G775*0.891738)/(G775*0.891738))</f>
        <v/>
      </c>
      <c r="L775" s="3" t="n">
        <v>-3</v>
      </c>
      <c r="M775" s="3" t="n">
        <v>0</v>
      </c>
      <c r="N775" s="3" t="n">
        <v>-16</v>
      </c>
      <c r="O775" s="3" t="n">
        <v>0</v>
      </c>
      <c r="P775" s="3" t="n">
        <v>0</v>
      </c>
      <c r="Q775" s="3">
        <f>SUM(L775:P775)-I775</f>
        <v/>
      </c>
    </row>
    <row r="776">
      <c r="A776" s="2" t="inlineStr">
        <is>
          <t>caleb-graham</t>
        </is>
      </c>
      <c r="B776" s="2" t="inlineStr">
        <is>
          <t>Caleb Graham</t>
        </is>
      </c>
      <c r="C776" s="2" t="inlineStr">
        <is>
          <t>Gold Coast</t>
        </is>
      </c>
      <c r="D776" s="2" t="inlineStr">
        <is>
          <t>KPD</t>
        </is>
      </c>
      <c r="E776" s="2" t="n">
        <v>26</v>
      </c>
      <c r="F776" s="2" t="inlineStr">
        <is>
          <t>National pick 71</t>
        </is>
      </c>
      <c r="G776" s="3" t="n">
        <v>40</v>
      </c>
      <c r="H776" s="3" t="n">
        <v>29</v>
      </c>
      <c r="I776" s="3">
        <f>H776-G776</f>
        <v/>
      </c>
      <c r="J776" s="4">
        <f>IF(G776=0,"",(H776-G776)/G776)</f>
        <v/>
      </c>
      <c r="K776" s="4">
        <f>IF(G776=0,"",(H776-G776*0.891738)/(G776*0.891738))</f>
        <v/>
      </c>
      <c r="L776" s="3" t="n">
        <v>-8</v>
      </c>
      <c r="M776" s="3" t="n">
        <v>0</v>
      </c>
      <c r="N776" s="3" t="n">
        <v>-3</v>
      </c>
      <c r="O776" s="3" t="n">
        <v>0</v>
      </c>
      <c r="P776" s="3" t="n">
        <v>0</v>
      </c>
      <c r="Q776" s="3">
        <f>SUM(L776:P776)-I776</f>
        <v/>
      </c>
    </row>
    <row r="777">
      <c r="A777" s="2" t="inlineStr">
        <is>
          <t>callum-coleman-jones</t>
        </is>
      </c>
      <c r="B777" s="2" t="inlineStr">
        <is>
          <t>Callum Coleman-Jones</t>
        </is>
      </c>
      <c r="C777" s="2" t="inlineStr">
        <is>
          <t>North Melbourne</t>
        </is>
      </c>
      <c r="D777" s="2" t="inlineStr">
        <is>
          <t>KPF</t>
        </is>
      </c>
      <c r="E777" s="2" t="n">
        <v>27</v>
      </c>
      <c r="F777" s="2" t="inlineStr">
        <is>
          <t>National pick 20</t>
        </is>
      </c>
      <c r="G777" s="3" t="n">
        <v>39</v>
      </c>
      <c r="H777" s="3" t="n">
        <v>37</v>
      </c>
      <c r="I777" s="3">
        <f>H777-G777</f>
        <v/>
      </c>
      <c r="J777" s="4">
        <f>IF(G777=0,"",(H777-G777)/G777)</f>
        <v/>
      </c>
      <c r="K777" s="4">
        <f>IF(G777=0,"",(H777-G777*0.891738)/(G777*0.891738))</f>
        <v/>
      </c>
      <c r="L777" s="3" t="n">
        <v>0</v>
      </c>
      <c r="M777" s="3" t="n">
        <v>0</v>
      </c>
      <c r="N777" s="3" t="n">
        <v>-2</v>
      </c>
      <c r="O777" s="3" t="n">
        <v>0</v>
      </c>
      <c r="P777" s="3" t="n">
        <v>0</v>
      </c>
      <c r="Q777" s="3">
        <f>SUM(L777:P777)-I777</f>
        <v/>
      </c>
    </row>
    <row r="778">
      <c r="A778" s="2" t="inlineStr">
        <is>
          <t>charlie-spargo</t>
        </is>
      </c>
      <c r="B778" s="2" t="inlineStr">
        <is>
          <t>Charlie Spargo</t>
        </is>
      </c>
      <c r="C778" s="2" t="inlineStr">
        <is>
          <t>Melbourne</t>
        </is>
      </c>
      <c r="D778" s="2" t="inlineStr">
        <is>
          <t>SF</t>
        </is>
      </c>
      <c r="E778" s="2" t="n">
        <v>27</v>
      </c>
      <c r="F778" s="2" t="inlineStr">
        <is>
          <t>National pick 29</t>
        </is>
      </c>
      <c r="G778" s="3" t="n">
        <v>26</v>
      </c>
      <c r="H778" s="3" t="n">
        <v>24</v>
      </c>
      <c r="I778" s="3">
        <f>H778-G778</f>
        <v/>
      </c>
      <c r="J778" s="4">
        <f>IF(G778=0,"",(H778-G778)/G778)</f>
        <v/>
      </c>
      <c r="K778" s="4">
        <f>IF(G778=0,"",(H778-G778*0.891738)/(G778*0.891738))</f>
        <v/>
      </c>
      <c r="L778" s="3" t="n">
        <v>0</v>
      </c>
      <c r="M778" s="3" t="n">
        <v>0</v>
      </c>
      <c r="N778" s="3" t="n">
        <v>-2</v>
      </c>
      <c r="O778" s="3" t="n">
        <v>0</v>
      </c>
      <c r="P778" s="3" t="n">
        <v>0</v>
      </c>
      <c r="Q778" s="3">
        <f>SUM(L778:P778)-I778</f>
        <v/>
      </c>
    </row>
    <row r="779">
      <c r="A779" s="2" t="inlineStr">
        <is>
          <t>oskar-baker</t>
        </is>
      </c>
      <c r="B779" s="2" t="inlineStr">
        <is>
          <t>Oskar Baker</t>
        </is>
      </c>
      <c r="C779" s="2" t="inlineStr">
        <is>
          <t>Western Bulldogs</t>
        </is>
      </c>
      <c r="D779" s="2" t="inlineStr">
        <is>
          <t>SF</t>
        </is>
      </c>
      <c r="E779" s="2" t="n">
        <v>28</v>
      </c>
      <c r="F779" s="2" t="inlineStr">
        <is>
          <t>National pick 48</t>
        </is>
      </c>
      <c r="G779" s="3" t="n">
        <v>14</v>
      </c>
      <c r="H779" s="3" t="n">
        <v>12</v>
      </c>
      <c r="I779" s="3">
        <f>H779-G779</f>
        <v/>
      </c>
      <c r="J779" s="4">
        <f>IF(G779=0,"",(H779-G779)/G779)</f>
        <v/>
      </c>
      <c r="K779" s="4">
        <f>IF(G779=0,"",(H779-G779*0.891738)/(G779*0.891738))</f>
        <v/>
      </c>
      <c r="L779" s="3" t="n">
        <v>0</v>
      </c>
      <c r="M779" s="3" t="n">
        <v>0</v>
      </c>
      <c r="N779" s="3" t="n">
        <v>-2</v>
      </c>
      <c r="O779" s="3" t="n">
        <v>0</v>
      </c>
      <c r="P779" s="3" t="n">
        <v>0</v>
      </c>
      <c r="Q779" s="3">
        <f>SUM(L779:P779)-I779</f>
        <v/>
      </c>
    </row>
    <row r="780">
      <c r="A780" s="2" t="inlineStr">
        <is>
          <t>jade-gresham</t>
        </is>
      </c>
      <c r="B780" s="2" t="inlineStr">
        <is>
          <t>Jade Gresham</t>
        </is>
      </c>
      <c r="C780" s="2" t="inlineStr">
        <is>
          <t>Essendon</t>
        </is>
      </c>
      <c r="D780" s="2" t="inlineStr">
        <is>
          <t>SF</t>
        </is>
      </c>
      <c r="E780" s="2" t="n">
        <v>29</v>
      </c>
      <c r="F780" s="2" t="inlineStr">
        <is>
          <t>National pick 18</t>
        </is>
      </c>
      <c r="G780" s="3" t="n">
        <v>39</v>
      </c>
      <c r="H780" s="3" t="n">
        <v>38</v>
      </c>
      <c r="I780" s="3">
        <f>H780-G780</f>
        <v/>
      </c>
      <c r="J780" s="4">
        <f>IF(G780=0,"",(H780-G780)/G780)</f>
        <v/>
      </c>
      <c r="K780" s="4">
        <f>IF(G780=0,"",(H780-G780*0.891738)/(G780*0.891738))</f>
        <v/>
      </c>
      <c r="L780" s="3" t="n">
        <v>0</v>
      </c>
      <c r="M780" s="3" t="n">
        <v>0</v>
      </c>
      <c r="N780" s="3" t="n">
        <v>-1</v>
      </c>
      <c r="O780" s="3" t="n">
        <v>0</v>
      </c>
      <c r="P780" s="3" t="n">
        <v>0</v>
      </c>
      <c r="Q780" s="3">
        <f>SUM(L780:P780)-I780</f>
        <v/>
      </c>
    </row>
    <row r="781">
      <c r="A781" s="2" t="inlineStr">
        <is>
          <t>ryan-gardner</t>
        </is>
      </c>
      <c r="B781" s="2" t="inlineStr">
        <is>
          <t>Ryan Gardner</t>
        </is>
      </c>
      <c r="C781" s="2" t="inlineStr">
        <is>
          <t>Western Bulldogs</t>
        </is>
      </c>
      <c r="D781" s="2" t="inlineStr">
        <is>
          <t>KPD</t>
        </is>
      </c>
      <c r="E781" s="2" t="n">
        <v>29</v>
      </c>
      <c r="F781" s="2" t="inlineStr">
        <is>
          <t>National pick 58</t>
        </is>
      </c>
      <c r="G781" s="3" t="n">
        <v>13</v>
      </c>
      <c r="H781" s="3" t="n">
        <v>11</v>
      </c>
      <c r="I781" s="3">
        <f>H781-G781</f>
        <v/>
      </c>
      <c r="J781" s="4">
        <f>IF(G781=0,"",(H781-G781)/G781)</f>
        <v/>
      </c>
      <c r="K781" s="4">
        <f>IF(G781=0,"",(H781-G781*0.891738)/(G781*0.891738))</f>
        <v/>
      </c>
      <c r="L781" s="3" t="n">
        <v>0</v>
      </c>
      <c r="M781" s="3" t="n">
        <v>0</v>
      </c>
      <c r="N781" s="3" t="n">
        <v>-2</v>
      </c>
      <c r="O781" s="3" t="n">
        <v>0</v>
      </c>
      <c r="P781" s="3" t="n">
        <v>0</v>
      </c>
      <c r="Q781" s="3">
        <f>SUM(L781:P781)-I781</f>
        <v/>
      </c>
    </row>
    <row r="782">
      <c r="A782" s="2" t="inlineStr">
        <is>
          <t>nathan-broad</t>
        </is>
      </c>
      <c r="B782" s="2" t="inlineStr">
        <is>
          <t>Nathan Broad</t>
        </is>
      </c>
      <c r="C782" s="2" t="inlineStr">
        <is>
          <t>Richmond</t>
        </is>
      </c>
      <c r="D782" s="2" t="inlineStr">
        <is>
          <t>SD</t>
        </is>
      </c>
      <c r="E782" s="2" t="n">
        <v>33</v>
      </c>
      <c r="F782" s="2" t="inlineStr">
        <is>
          <t>National pick 65</t>
        </is>
      </c>
      <c r="G782" s="3" t="n">
        <v>10</v>
      </c>
      <c r="H782" s="3" t="n">
        <v>10</v>
      </c>
      <c r="I782" s="3">
        <f>H782-G782</f>
        <v/>
      </c>
      <c r="J782" s="4">
        <f>IF(G782=0,"",(H782-G782)/G782)</f>
        <v/>
      </c>
      <c r="K782" s="4">
        <f>IF(G782=0,"",(H782-G782*0.891738)/(G782*0.891738))</f>
        <v/>
      </c>
      <c r="L782" s="3" t="n">
        <v>0</v>
      </c>
      <c r="M782" s="3" t="n">
        <v>0</v>
      </c>
      <c r="N782" s="3" t="n">
        <v>0</v>
      </c>
      <c r="O782" s="3" t="n">
        <v>0</v>
      </c>
      <c r="P782" s="3" t="n">
        <v>0</v>
      </c>
      <c r="Q782" s="3">
        <f>SUM(L782:P782)-I782</f>
        <v/>
      </c>
    </row>
    <row r="783">
      <c r="A783" s="2" t="inlineStr">
        <is>
          <t>conor-mckenna</t>
        </is>
      </c>
      <c r="B783" s="2" t="inlineStr">
        <is>
          <t>Conor McKenna</t>
        </is>
      </c>
      <c r="C783" s="2" t="inlineStr">
        <is>
          <t>Brisbane</t>
        </is>
      </c>
      <c r="D783" s="2" t="inlineStr">
        <is>
          <t>SF</t>
        </is>
      </c>
      <c r="E783" s="2" t="n">
        <v>30</v>
      </c>
      <c r="F783" s="2" t="inlineStr">
        <is>
          <t>Post-Draft - Ireland (pool)</t>
        </is>
      </c>
      <c r="G783" s="3" t="n">
        <v>7</v>
      </c>
      <c r="H783" s="3" t="n">
        <v>7</v>
      </c>
      <c r="I783" s="3">
        <f>H783-G783</f>
        <v/>
      </c>
      <c r="J783" s="4">
        <f>IF(G783=0,"",(H783-G783)/G783)</f>
        <v/>
      </c>
      <c r="K783" s="4">
        <f>IF(G783=0,"",(H783-G783*0.891738)/(G783*0.891738))</f>
        <v/>
      </c>
      <c r="L783" s="3" t="n">
        <v>0</v>
      </c>
      <c r="M783" s="3" t="n">
        <v>0</v>
      </c>
      <c r="N783" s="3" t="n">
        <v>0</v>
      </c>
      <c r="O783" s="3" t="n">
        <v>0</v>
      </c>
      <c r="P783" s="3" t="n">
        <v>0</v>
      </c>
      <c r="Q783" s="3">
        <f>SUM(L783:P783)-I783</f>
        <v/>
      </c>
    </row>
    <row r="784">
      <c r="A784" s="2" t="inlineStr">
        <is>
          <t>jake-kolodjashnij</t>
        </is>
      </c>
      <c r="B784" s="2" t="inlineStr">
        <is>
          <t>Jake Kolodjashnij</t>
        </is>
      </c>
      <c r="C784" s="2" t="inlineStr">
        <is>
          <t>Geelong</t>
        </is>
      </c>
      <c r="D784" s="2" t="inlineStr">
        <is>
          <t>KPD</t>
        </is>
      </c>
      <c r="E784" s="2" t="n">
        <v>31</v>
      </c>
      <c r="F784" s="2" t="inlineStr">
        <is>
          <t>National pick 41</t>
        </is>
      </c>
      <c r="G784" s="3" t="n">
        <v>22</v>
      </c>
      <c r="H784" s="3" t="n">
        <v>21</v>
      </c>
      <c r="I784" s="3">
        <f>H784-G784</f>
        <v/>
      </c>
      <c r="J784" s="4">
        <f>IF(G784=0,"",(H784-G784)/G784)</f>
        <v/>
      </c>
      <c r="K784" s="4">
        <f>IF(G784=0,"",(H784-G784*0.891738)/(G784*0.891738))</f>
        <v/>
      </c>
      <c r="L784" s="3" t="n">
        <v>0</v>
      </c>
      <c r="M784" s="3" t="n">
        <v>0</v>
      </c>
      <c r="N784" s="3" t="n">
        <v>-1</v>
      </c>
      <c r="O784" s="3" t="n">
        <v>0</v>
      </c>
      <c r="P784" s="3" t="n">
        <v>0</v>
      </c>
      <c r="Q784" s="3">
        <f>SUM(L784:P784)-I784</f>
        <v/>
      </c>
    </row>
    <row r="785">
      <c r="A785" s="2" t="inlineStr">
        <is>
          <t>mark-blicavs</t>
        </is>
      </c>
      <c r="B785" s="2" t="inlineStr">
        <is>
          <t>Mark Blicavs</t>
        </is>
      </c>
      <c r="C785" s="2" t="inlineStr">
        <is>
          <t>Geelong</t>
        </is>
      </c>
      <c r="D785" s="2" t="inlineStr">
        <is>
          <t>MID</t>
        </is>
      </c>
      <c r="E785" s="2" t="n">
        <v>35</v>
      </c>
      <c r="F785" s="2" t="inlineStr">
        <is>
          <t>Post-Draft - Unregistered (pool)</t>
        </is>
      </c>
      <c r="G785" s="3" t="n">
        <v>5</v>
      </c>
      <c r="H785" s="3" t="n">
        <v>5</v>
      </c>
      <c r="I785" s="3">
        <f>H785-G785</f>
        <v/>
      </c>
      <c r="J785" s="4">
        <f>IF(G785=0,"",(H785-G785)/G785)</f>
        <v/>
      </c>
      <c r="K785" s="4">
        <f>IF(G785=0,"",(H785-G785*0.891738)/(G785*0.891738))</f>
        <v/>
      </c>
      <c r="L785" s="3" t="n">
        <v>0</v>
      </c>
      <c r="M785" s="3" t="n">
        <v>0</v>
      </c>
      <c r="N785" s="3" t="n">
        <v>0</v>
      </c>
      <c r="O785" s="3" t="n">
        <v>0</v>
      </c>
      <c r="P785" s="3" t="n">
        <v>0</v>
      </c>
      <c r="Q785" s="3">
        <f>SUM(L785:P785)-I785</f>
        <v/>
      </c>
    </row>
    <row r="786">
      <c r="A786" s="2" t="inlineStr">
        <is>
          <t>steele-sidebottom</t>
        </is>
      </c>
      <c r="B786" s="2" t="inlineStr">
        <is>
          <t>Steele Sidebottom</t>
        </is>
      </c>
      <c r="C786" s="2" t="inlineStr">
        <is>
          <t>Collingwood</t>
        </is>
      </c>
      <c r="D786" s="2" t="inlineStr">
        <is>
          <t>MID</t>
        </is>
      </c>
      <c r="E786" s="2" t="n">
        <v>36</v>
      </c>
      <c r="F786" s="2" t="inlineStr">
        <is>
          <t>National pick 11</t>
        </is>
      </c>
      <c r="G786" s="3" t="n">
        <v>96</v>
      </c>
      <c r="H786" s="3" t="n">
        <v>92</v>
      </c>
      <c r="I786" s="3">
        <f>H786-G786</f>
        <v/>
      </c>
      <c r="J786" s="4">
        <f>IF(G786=0,"",(H786-G786)/G786)</f>
        <v/>
      </c>
      <c r="K786" s="4">
        <f>IF(G786=0,"",(H786-G786*0.891738)/(G786*0.891738))</f>
        <v/>
      </c>
      <c r="L786" s="3" t="n">
        <v>0</v>
      </c>
      <c r="M786" s="3" t="n">
        <v>0</v>
      </c>
      <c r="N786" s="3" t="n">
        <v>-4</v>
      </c>
      <c r="O786" s="3" t="n">
        <v>0</v>
      </c>
      <c r="P786" s="3" t="n">
        <v>0</v>
      </c>
      <c r="Q786" s="3">
        <f>SUM(L786:P786)-I786</f>
        <v/>
      </c>
    </row>
    <row r="787">
      <c r="A787" s="2" t="inlineStr">
        <is>
          <t>jeremy-sharp</t>
        </is>
      </c>
      <c r="B787" s="2" t="inlineStr">
        <is>
          <t>Jeremy Sharp</t>
        </is>
      </c>
      <c r="C787" s="2" t="inlineStr">
        <is>
          <t>Fremantle</t>
        </is>
      </c>
      <c r="D787" s="2" t="inlineStr">
        <is>
          <t>MID</t>
        </is>
      </c>
      <c r="E787" s="2" t="n">
        <v>25</v>
      </c>
      <c r="F787" s="2" t="inlineStr">
        <is>
          <t>National pick 27</t>
        </is>
      </c>
      <c r="G787" s="3" t="n">
        <v>56</v>
      </c>
      <c r="H787" s="3" t="n">
        <v>48</v>
      </c>
      <c r="I787" s="3">
        <f>H787-G787</f>
        <v/>
      </c>
      <c r="J787" s="4">
        <f>IF(G787=0,"",(H787-G787)/G787)</f>
        <v/>
      </c>
      <c r="K787" s="4">
        <f>IF(G787=0,"",(H787-G787*0.891738)/(G787*0.891738))</f>
        <v/>
      </c>
      <c r="L787" s="3" t="n">
        <v>-1</v>
      </c>
      <c r="M787" s="3" t="n">
        <v>0</v>
      </c>
      <c r="N787" s="3" t="n">
        <v>-7</v>
      </c>
      <c r="O787" s="3" t="n">
        <v>0</v>
      </c>
      <c r="P787" s="3" t="n">
        <v>0</v>
      </c>
      <c r="Q787" s="3">
        <f>SUM(L787:P787)-I787</f>
        <v/>
      </c>
    </row>
    <row r="788">
      <c r="A788" s="2" t="inlineStr">
        <is>
          <t>liam-stocker</t>
        </is>
      </c>
      <c r="B788" s="2" t="inlineStr">
        <is>
          <t>Liam Stocker</t>
        </is>
      </c>
      <c r="C788" s="2" t="inlineStr">
        <is>
          <t>St Kilda</t>
        </is>
      </c>
      <c r="D788" s="2" t="inlineStr">
        <is>
          <t>SD</t>
        </is>
      </c>
      <c r="E788" s="2" t="n">
        <v>26</v>
      </c>
      <c r="F788" s="2" t="inlineStr">
        <is>
          <t>National pick 19</t>
        </is>
      </c>
      <c r="G788" s="3" t="n">
        <v>41</v>
      </c>
      <c r="H788" s="3" t="n">
        <v>39</v>
      </c>
      <c r="I788" s="3">
        <f>H788-G788</f>
        <v/>
      </c>
      <c r="J788" s="4">
        <f>IF(G788=0,"",(H788-G788)/G788)</f>
        <v/>
      </c>
      <c r="K788" s="4">
        <f>IF(G788=0,"",(H788-G788*0.891738)/(G788*0.891738))</f>
        <v/>
      </c>
      <c r="L788" s="3" t="n">
        <v>0</v>
      </c>
      <c r="M788" s="3" t="n">
        <v>0</v>
      </c>
      <c r="N788" s="3" t="n">
        <v>-2</v>
      </c>
      <c r="O788" s="3" t="n">
        <v>0</v>
      </c>
      <c r="P788" s="3" t="n">
        <v>0</v>
      </c>
      <c r="Q788" s="3">
        <f>SUM(L788:P788)-I788</f>
        <v/>
      </c>
    </row>
    <row r="789">
      <c r="A789" s="2" t="inlineStr">
        <is>
          <t>bailey-scott</t>
        </is>
      </c>
      <c r="B789" s="2" t="inlineStr">
        <is>
          <t>Bailey Scott</t>
        </is>
      </c>
      <c r="C789" s="2" t="inlineStr">
        <is>
          <t>North Melbourne</t>
        </is>
      </c>
      <c r="D789" s="2" t="inlineStr">
        <is>
          <t>MID</t>
        </is>
      </c>
      <c r="E789" s="2" t="n">
        <v>26</v>
      </c>
      <c r="F789" s="2" t="inlineStr">
        <is>
          <t>National pick 49</t>
        </is>
      </c>
      <c r="G789" s="3" t="n">
        <v>23</v>
      </c>
      <c r="H789" s="3" t="n">
        <v>20</v>
      </c>
      <c r="I789" s="3">
        <f>H789-G789</f>
        <v/>
      </c>
      <c r="J789" s="4">
        <f>IF(G789=0,"",(H789-G789)/G789)</f>
        <v/>
      </c>
      <c r="K789" s="4">
        <f>IF(G789=0,"",(H789-G789*0.891738)/(G789*0.891738))</f>
        <v/>
      </c>
      <c r="L789" s="3" t="n">
        <v>0</v>
      </c>
      <c r="M789" s="3" t="n">
        <v>0</v>
      </c>
      <c r="N789" s="3" t="n">
        <v>-3</v>
      </c>
      <c r="O789" s="3" t="n">
        <v>0</v>
      </c>
      <c r="P789" s="3" t="n">
        <v>0</v>
      </c>
      <c r="Q789" s="3">
        <f>SUM(L789:P789)-I789</f>
        <v/>
      </c>
    </row>
    <row r="790">
      <c r="A790" s="2" t="inlineStr">
        <is>
          <t>noah-answerth</t>
        </is>
      </c>
      <c r="B790" s="2" t="inlineStr">
        <is>
          <t>Noah Answerth</t>
        </is>
      </c>
      <c r="C790" s="2" t="inlineStr">
        <is>
          <t>Brisbane</t>
        </is>
      </c>
      <c r="D790" s="2" t="inlineStr">
        <is>
          <t>SD</t>
        </is>
      </c>
      <c r="E790" s="2" t="n">
        <v>27</v>
      </c>
      <c r="F790" s="2" t="inlineStr">
        <is>
          <t>National pick 55</t>
        </is>
      </c>
      <c r="G790" s="3" t="n">
        <v>12</v>
      </c>
      <c r="H790" s="3" t="n">
        <v>10</v>
      </c>
      <c r="I790" s="3">
        <f>H790-G790</f>
        <v/>
      </c>
      <c r="J790" s="4">
        <f>IF(G790=0,"",(H790-G790)/G790)</f>
        <v/>
      </c>
      <c r="K790" s="4">
        <f>IF(G790=0,"",(H790-G790*0.891738)/(G790*0.891738))</f>
        <v/>
      </c>
      <c r="L790" s="3" t="n">
        <v>0</v>
      </c>
      <c r="M790" s="3" t="n">
        <v>0</v>
      </c>
      <c r="N790" s="3" t="n">
        <v>-2</v>
      </c>
      <c r="O790" s="3" t="n">
        <v>0</v>
      </c>
      <c r="P790" s="3" t="n">
        <v>0</v>
      </c>
      <c r="Q790" s="3">
        <f>SUM(L790:P790)-I790</f>
        <v/>
      </c>
    </row>
    <row r="791">
      <c r="A791" s="2" t="inlineStr">
        <is>
          <t>matt-owies</t>
        </is>
      </c>
      <c r="B791" s="2" t="inlineStr">
        <is>
          <t>Matt Owies</t>
        </is>
      </c>
      <c r="C791" s="2" t="inlineStr">
        <is>
          <t>Carlton</t>
        </is>
      </c>
      <c r="D791" s="2" t="inlineStr">
        <is>
          <t>SF</t>
        </is>
      </c>
      <c r="E791" s="2" t="n">
        <v>29</v>
      </c>
      <c r="F791" s="2" t="inlineStr">
        <is>
          <t>Post-Draft - Unregistered (pool)</t>
        </is>
      </c>
      <c r="G791" s="3" t="n">
        <v>5</v>
      </c>
      <c r="H791" s="3" t="n">
        <v>5</v>
      </c>
      <c r="I791" s="3">
        <f>H791-G791</f>
        <v/>
      </c>
      <c r="J791" s="4">
        <f>IF(G791=0,"",(H791-G791)/G791)</f>
        <v/>
      </c>
      <c r="K791" s="4">
        <f>IF(G791=0,"",(H791-G791*0.891738)/(G791*0.891738))</f>
        <v/>
      </c>
      <c r="L791" s="3" t="n">
        <v>0</v>
      </c>
      <c r="M791" s="3" t="n">
        <v>0</v>
      </c>
      <c r="N791" s="3" t="n">
        <v>0</v>
      </c>
      <c r="O791" s="3" t="n">
        <v>0</v>
      </c>
      <c r="P791" s="3" t="n">
        <v>0</v>
      </c>
      <c r="Q791" s="3">
        <f>SUM(L791:P791)-I791</f>
        <v/>
      </c>
    </row>
    <row r="792">
      <c r="A792" s="2" t="inlineStr">
        <is>
          <t>brandon-starcevich</t>
        </is>
      </c>
      <c r="B792" s="2" t="inlineStr">
        <is>
          <t>Brandon Starcevich</t>
        </is>
      </c>
      <c r="C792" s="2" t="inlineStr">
        <is>
          <t>Brisbane</t>
        </is>
      </c>
      <c r="D792" s="2" t="inlineStr">
        <is>
          <t>SD</t>
        </is>
      </c>
      <c r="E792" s="2" t="n">
        <v>27</v>
      </c>
      <c r="F792" s="2" t="inlineStr">
        <is>
          <t>National pick 18</t>
        </is>
      </c>
      <c r="G792" s="3" t="n">
        <v>41</v>
      </c>
      <c r="H792" s="3" t="n">
        <v>40</v>
      </c>
      <c r="I792" s="3">
        <f>H792-G792</f>
        <v/>
      </c>
      <c r="J792" s="4">
        <f>IF(G792=0,"",(H792-G792)/G792)</f>
        <v/>
      </c>
      <c r="K792" s="4">
        <f>IF(G792=0,"",(H792-G792*0.891738)/(G792*0.891738))</f>
        <v/>
      </c>
      <c r="L792" s="3" t="n">
        <v>0</v>
      </c>
      <c r="M792" s="3" t="n">
        <v>0</v>
      </c>
      <c r="N792" s="3" t="n">
        <v>-1</v>
      </c>
      <c r="O792" s="3" t="n">
        <v>0</v>
      </c>
      <c r="P792" s="3" t="n">
        <v>0</v>
      </c>
      <c r="Q792" s="3">
        <f>SUM(L792:P792)-I792</f>
        <v/>
      </c>
    </row>
    <row r="793">
      <c r="A793" s="2" t="inlineStr">
        <is>
          <t>liam-ryan</t>
        </is>
      </c>
      <c r="B793" s="2" t="inlineStr">
        <is>
          <t>Liam Ryan</t>
        </is>
      </c>
      <c r="C793" s="2" t="inlineStr">
        <is>
          <t>St Kilda</t>
        </is>
      </c>
      <c r="D793" s="2" t="inlineStr">
        <is>
          <t>SF</t>
        </is>
      </c>
      <c r="E793" s="2" t="n">
        <v>30</v>
      </c>
      <c r="F793" s="2" t="inlineStr">
        <is>
          <t>National pick 26</t>
        </is>
      </c>
      <c r="G793" s="3" t="n">
        <v>24</v>
      </c>
      <c r="H793" s="3" t="n">
        <v>23</v>
      </c>
      <c r="I793" s="3">
        <f>H793-G793</f>
        <v/>
      </c>
      <c r="J793" s="4">
        <f>IF(G793=0,"",(H793-G793)/G793)</f>
        <v/>
      </c>
      <c r="K793" s="4">
        <f>IF(G793=0,"",(H793-G793*0.891738)/(G793*0.891738))</f>
        <v/>
      </c>
      <c r="L793" s="3" t="n">
        <v>0</v>
      </c>
      <c r="M793" s="3" t="n">
        <v>0</v>
      </c>
      <c r="N793" s="3" t="n">
        <v>-1</v>
      </c>
      <c r="O793" s="3" t="n">
        <v>0</v>
      </c>
      <c r="P793" s="3" t="n">
        <v>0</v>
      </c>
      <c r="Q793" s="3">
        <f>SUM(L793:P793)-I793</f>
        <v/>
      </c>
    </row>
    <row r="794">
      <c r="A794" s="2" t="inlineStr">
        <is>
          <t>matt-guelfi</t>
        </is>
      </c>
      <c r="B794" s="2" t="inlineStr">
        <is>
          <t>Matt Guelfi</t>
        </is>
      </c>
      <c r="C794" s="2" t="inlineStr">
        <is>
          <t>Essendon</t>
        </is>
      </c>
      <c r="D794" s="2" t="inlineStr">
        <is>
          <t>SF</t>
        </is>
      </c>
      <c r="E794" s="2" t="n">
        <v>29</v>
      </c>
      <c r="F794" s="2" t="inlineStr">
        <is>
          <t>National pick 75</t>
        </is>
      </c>
      <c r="G794" s="3" t="n">
        <v>10</v>
      </c>
      <c r="H794" s="3" t="n">
        <v>10</v>
      </c>
      <c r="I794" s="3">
        <f>H794-G794</f>
        <v/>
      </c>
      <c r="J794" s="4">
        <f>IF(G794=0,"",(H794-G794)/G794)</f>
        <v/>
      </c>
      <c r="K794" s="4">
        <f>IF(G794=0,"",(H794-G794*0.891738)/(G794*0.891738))</f>
        <v/>
      </c>
      <c r="L794" s="3" t="n">
        <v>0</v>
      </c>
      <c r="M794" s="3" t="n">
        <v>0</v>
      </c>
      <c r="N794" s="3" t="n">
        <v>0</v>
      </c>
      <c r="O794" s="3" t="n">
        <v>0</v>
      </c>
      <c r="P794" s="3" t="n">
        <v>0</v>
      </c>
      <c r="Q794" s="3">
        <f>SUM(L794:P794)-I794</f>
        <v/>
      </c>
    </row>
    <row r="795">
      <c r="A795" s="2" t="inlineStr">
        <is>
          <t>bailey-banfield</t>
        </is>
      </c>
      <c r="B795" s="2" t="inlineStr">
        <is>
          <t>Bailey Banfield</t>
        </is>
      </c>
      <c r="C795" s="2" t="inlineStr">
        <is>
          <t>Fremantle</t>
        </is>
      </c>
      <c r="D795" s="2" t="inlineStr">
        <is>
          <t>SF</t>
        </is>
      </c>
      <c r="E795" s="2" t="n">
        <v>28</v>
      </c>
      <c r="F795" s="2" t="inlineStr">
        <is>
          <t>Rookie pick 3</t>
        </is>
      </c>
      <c r="G795" s="3" t="n">
        <v>11</v>
      </c>
      <c r="H795" s="3" t="n">
        <v>11</v>
      </c>
      <c r="I795" s="3">
        <f>H795-G795</f>
        <v/>
      </c>
      <c r="J795" s="4">
        <f>IF(G795=0,"",(H795-G795)/G795)</f>
        <v/>
      </c>
      <c r="K795" s="4">
        <f>IF(G795=0,"",(H795-G795*0.891738)/(G795*0.891738))</f>
        <v/>
      </c>
      <c r="L795" s="3" t="n">
        <v>0</v>
      </c>
      <c r="M795" s="3" t="n">
        <v>0</v>
      </c>
      <c r="N795" s="3" t="n">
        <v>0</v>
      </c>
      <c r="O795" s="3" t="n">
        <v>0</v>
      </c>
      <c r="P795" s="3" t="n">
        <v>0</v>
      </c>
      <c r="Q795" s="3">
        <f>SUM(L795:P795)-I795</f>
        <v/>
      </c>
    </row>
    <row r="796">
      <c r="A796" s="2" t="inlineStr">
        <is>
          <t>darragh-joyce</t>
        </is>
      </c>
      <c r="B796" s="2" t="inlineStr">
        <is>
          <t>Darragh Joyce</t>
        </is>
      </c>
      <c r="C796" s="2" t="inlineStr">
        <is>
          <t>Brisbane</t>
        </is>
      </c>
      <c r="D796" s="2" t="inlineStr">
        <is>
          <t>KPD</t>
        </is>
      </c>
      <c r="E796" s="2" t="n">
        <v>29</v>
      </c>
      <c r="F796" s="2" t="inlineStr">
        <is>
          <t>Post-Draft - Ireland (pool)</t>
        </is>
      </c>
      <c r="G796" s="3" t="n">
        <v>7</v>
      </c>
      <c r="H796" s="3" t="n">
        <v>7</v>
      </c>
      <c r="I796" s="3">
        <f>H796-G796</f>
        <v/>
      </c>
      <c r="J796" s="4">
        <f>IF(G796=0,"",(H796-G796)/G796)</f>
        <v/>
      </c>
      <c r="K796" s="4">
        <f>IF(G796=0,"",(H796-G796*0.891738)/(G796*0.891738))</f>
        <v/>
      </c>
      <c r="L796" s="3" t="n">
        <v>0</v>
      </c>
      <c r="M796" s="3" t="n">
        <v>0</v>
      </c>
      <c r="N796" s="3" t="n">
        <v>0</v>
      </c>
      <c r="O796" s="3" t="n">
        <v>0</v>
      </c>
      <c r="P796" s="3" t="n">
        <v>0</v>
      </c>
      <c r="Q796" s="3">
        <f>SUM(L796:P796)-I796</f>
        <v/>
      </c>
    </row>
    <row r="797">
      <c r="A797" s="2" t="inlineStr">
        <is>
          <t>daniel-butler</t>
        </is>
      </c>
      <c r="B797" s="2" t="inlineStr">
        <is>
          <t>Daniel Butler</t>
        </is>
      </c>
      <c r="C797" s="2" t="inlineStr">
        <is>
          <t>St Kilda</t>
        </is>
      </c>
      <c r="D797" s="2" t="inlineStr">
        <is>
          <t>SF</t>
        </is>
      </c>
      <c r="E797" s="2" t="n">
        <v>30</v>
      </c>
      <c r="F797" s="2" t="inlineStr">
        <is>
          <t>National pick 65</t>
        </is>
      </c>
      <c r="G797" s="3" t="n">
        <v>10</v>
      </c>
      <c r="H797" s="3" t="n">
        <v>10</v>
      </c>
      <c r="I797" s="3">
        <f>H797-G797</f>
        <v/>
      </c>
      <c r="J797" s="4">
        <f>IF(G797=0,"",(H797-G797)/G797)</f>
        <v/>
      </c>
      <c r="K797" s="4">
        <f>IF(G797=0,"",(H797-G797*0.891738)/(G797*0.891738))</f>
        <v/>
      </c>
      <c r="L797" s="3" t="n">
        <v>0</v>
      </c>
      <c r="M797" s="3" t="n">
        <v>0</v>
      </c>
      <c r="N797" s="3" t="n">
        <v>0</v>
      </c>
      <c r="O797" s="3" t="n">
        <v>0</v>
      </c>
      <c r="P797" s="3" t="n">
        <v>0</v>
      </c>
      <c r="Q797" s="3">
        <f>SUM(L797:P797)-I797</f>
        <v/>
      </c>
    </row>
    <row r="798">
      <c r="A798" s="2" t="inlineStr">
        <is>
          <t>mason-cox</t>
        </is>
      </c>
      <c r="B798" s="2" t="inlineStr">
        <is>
          <t>Mason Cox</t>
        </is>
      </c>
      <c r="C798" s="2" t="inlineStr">
        <is>
          <t>Fremantle</t>
        </is>
      </c>
      <c r="D798" s="2" t="inlineStr">
        <is>
          <t>KPF</t>
        </is>
      </c>
      <c r="E798" s="2" t="n">
        <v>35</v>
      </c>
      <c r="F798" s="2" t="inlineStr">
        <is>
          <t>Post-Draft - Unregistered (pool)</t>
        </is>
      </c>
      <c r="G798" s="3" t="n">
        <v>5</v>
      </c>
      <c r="H798" s="3" t="n">
        <v>5</v>
      </c>
      <c r="I798" s="3">
        <f>H798-G798</f>
        <v/>
      </c>
      <c r="J798" s="4">
        <f>IF(G798=0,"",(H798-G798)/G798)</f>
        <v/>
      </c>
      <c r="K798" s="4">
        <f>IF(G798=0,"",(H798-G798*0.891738)/(G798*0.891738))</f>
        <v/>
      </c>
      <c r="L798" s="3" t="n">
        <v>0</v>
      </c>
      <c r="M798" s="3" t="n">
        <v>0</v>
      </c>
      <c r="N798" s="3" t="n">
        <v>0</v>
      </c>
      <c r="O798" s="3" t="n">
        <v>0</v>
      </c>
      <c r="P798" s="3" t="n">
        <v>0</v>
      </c>
      <c r="Q798" s="3">
        <f>SUM(L798:P798)-I798</f>
        <v/>
      </c>
    </row>
    <row r="799">
      <c r="A799" s="2" t="inlineStr">
        <is>
          <t>alex-pearce</t>
        </is>
      </c>
      <c r="B799" s="2" t="inlineStr">
        <is>
          <t>Alex Pearce</t>
        </is>
      </c>
      <c r="C799" s="2" t="inlineStr">
        <is>
          <t>Fremantle</t>
        </is>
      </c>
      <c r="D799" s="2" t="inlineStr">
        <is>
          <t>KPD</t>
        </is>
      </c>
      <c r="E799" s="2" t="n">
        <v>31</v>
      </c>
      <c r="F799" s="2" t="inlineStr">
        <is>
          <t>National pick 37</t>
        </is>
      </c>
      <c r="G799" s="3" t="n">
        <v>23</v>
      </c>
      <c r="H799" s="3" t="n">
        <v>21</v>
      </c>
      <c r="I799" s="3">
        <f>H799-G799</f>
        <v/>
      </c>
      <c r="J799" s="4">
        <f>IF(G799=0,"",(H799-G799)/G799)</f>
        <v/>
      </c>
      <c r="K799" s="4">
        <f>IF(G799=0,"",(H799-G799*0.891738)/(G799*0.891738))</f>
        <v/>
      </c>
      <c r="L799" s="3" t="n">
        <v>0</v>
      </c>
      <c r="M799" s="3" t="n">
        <v>0</v>
      </c>
      <c r="N799" s="3" t="n">
        <v>-2</v>
      </c>
      <c r="O799" s="3" t="n">
        <v>0</v>
      </c>
      <c r="P799" s="3" t="n">
        <v>0</v>
      </c>
      <c r="Q799" s="3">
        <f>SUM(L799:P799)-I799</f>
        <v/>
      </c>
    </row>
    <row r="800">
      <c r="A800" s="2" t="inlineStr">
        <is>
          <t>nicholas-holman</t>
        </is>
      </c>
      <c r="B800" s="2" t="inlineStr">
        <is>
          <t>Nicholas Holman</t>
        </is>
      </c>
      <c r="C800" s="2" t="inlineStr">
        <is>
          <t>Gold Coast</t>
        </is>
      </c>
      <c r="D800" s="2" t="inlineStr">
        <is>
          <t>SF</t>
        </is>
      </c>
      <c r="E800" s="2" t="n">
        <v>31</v>
      </c>
      <c r="F800" s="2" t="inlineStr">
        <is>
          <t>National pick 49</t>
        </is>
      </c>
      <c r="G800" s="3" t="n">
        <v>14</v>
      </c>
      <c r="H800" s="3" t="n">
        <v>12</v>
      </c>
      <c r="I800" s="3">
        <f>H800-G800</f>
        <v/>
      </c>
      <c r="J800" s="4">
        <f>IF(G800=0,"",(H800-G800)/G800)</f>
        <v/>
      </c>
      <c r="K800" s="4">
        <f>IF(G800=0,"",(H800-G800*0.891738)/(G800*0.891738))</f>
        <v/>
      </c>
      <c r="L800" s="3" t="n">
        <v>0</v>
      </c>
      <c r="M800" s="3" t="n">
        <v>0</v>
      </c>
      <c r="N800" s="3" t="n">
        <v>-2</v>
      </c>
      <c r="O800" s="3" t="n">
        <v>0</v>
      </c>
      <c r="P800" s="3" t="n">
        <v>0</v>
      </c>
      <c r="Q800" s="3">
        <f>SUM(L800:P800)-I800</f>
        <v/>
      </c>
    </row>
    <row r="801">
      <c r="A801" s="2" t="inlineStr">
        <is>
          <t>dane-rampe</t>
        </is>
      </c>
      <c r="B801" s="2" t="inlineStr">
        <is>
          <t>Dane Rampe</t>
        </is>
      </c>
      <c r="C801" s="2" t="inlineStr">
        <is>
          <t>Sydney</t>
        </is>
      </c>
      <c r="D801" s="2" t="inlineStr">
        <is>
          <t>SD</t>
        </is>
      </c>
      <c r="E801" s="2" t="n">
        <v>36</v>
      </c>
      <c r="F801" s="2" t="inlineStr">
        <is>
          <t>Rookie pick 23</t>
        </is>
      </c>
      <c r="G801" s="3" t="n">
        <v>12</v>
      </c>
      <c r="H801" s="3" t="n">
        <v>12</v>
      </c>
      <c r="I801" s="3">
        <f>H801-G801</f>
        <v/>
      </c>
      <c r="J801" s="4">
        <f>IF(G801=0,"",(H801-G801)/G801)</f>
        <v/>
      </c>
      <c r="K801" s="4">
        <f>IF(G801=0,"",(H801-G801*0.891738)/(G801*0.891738))</f>
        <v/>
      </c>
      <c r="L801" s="3" t="n">
        <v>0</v>
      </c>
      <c r="M801" s="3" t="n">
        <v>0</v>
      </c>
      <c r="N801" s="3" t="n">
        <v>0</v>
      </c>
      <c r="O801" s="3" t="n">
        <v>0</v>
      </c>
      <c r="P801" s="3" t="n">
        <v>0</v>
      </c>
      <c r="Q801" s="3">
        <f>SUM(L801:P801)-I801</f>
        <v/>
      </c>
    </row>
    <row r="802">
      <c r="A802" s="2" t="inlineStr">
        <is>
          <t>joel-hamling</t>
        </is>
      </c>
      <c r="B802" s="2" t="inlineStr">
        <is>
          <t>Joel Hamling</t>
        </is>
      </c>
      <c r="C802" s="2" t="inlineStr">
        <is>
          <t>Sydney</t>
        </is>
      </c>
      <c r="D802" s="2" t="inlineStr">
        <is>
          <t>KPF</t>
        </is>
      </c>
      <c r="E802" s="2" t="n">
        <v>33</v>
      </c>
      <c r="F802" s="2" t="inlineStr">
        <is>
          <t>National pick 41</t>
        </is>
      </c>
      <c r="G802" s="3" t="n">
        <v>18</v>
      </c>
      <c r="H802" s="3" t="n">
        <v>16</v>
      </c>
      <c r="I802" s="3">
        <f>H802-G802</f>
        <v/>
      </c>
      <c r="J802" s="4">
        <f>IF(G802=0,"",(H802-G802)/G802)</f>
        <v/>
      </c>
      <c r="K802" s="4">
        <f>IF(G802=0,"",(H802-G802*0.891738)/(G802*0.891738))</f>
        <v/>
      </c>
      <c r="L802" s="3" t="n">
        <v>0</v>
      </c>
      <c r="M802" s="3" t="n">
        <v>0</v>
      </c>
      <c r="N802" s="3" t="n">
        <v>-2</v>
      </c>
      <c r="O802" s="3" t="n">
        <v>0</v>
      </c>
      <c r="P802" s="3" t="n">
        <v>0</v>
      </c>
      <c r="Q802" s="3">
        <f>SUM(L802:P802)-I802</f>
        <v/>
      </c>
    </row>
    <row r="803">
      <c r="A803" s="2" t="inlineStr">
        <is>
          <t>jed-bews</t>
        </is>
      </c>
      <c r="B803" s="2" t="inlineStr">
        <is>
          <t>Jed Bews</t>
        </is>
      </c>
      <c r="C803" s="2" t="inlineStr">
        <is>
          <t>Geelong</t>
        </is>
      </c>
      <c r="D803" s="2" t="inlineStr">
        <is>
          <t>SD</t>
        </is>
      </c>
      <c r="E803" s="2" t="n">
        <v>33</v>
      </c>
      <c r="F803" s="2" t="inlineStr">
        <is>
          <t>National pick 77</t>
        </is>
      </c>
      <c r="G803" s="3" t="n">
        <v>10</v>
      </c>
      <c r="H803" s="3" t="n">
        <v>10</v>
      </c>
      <c r="I803" s="3">
        <f>H803-G803</f>
        <v/>
      </c>
      <c r="J803" s="4">
        <f>IF(G803=0,"",(H803-G803)/G803)</f>
        <v/>
      </c>
      <c r="K803" s="4">
        <f>IF(G803=0,"",(H803-G803*0.891738)/(G803*0.891738))</f>
        <v/>
      </c>
      <c r="L803" s="3" t="n">
        <v>0</v>
      </c>
      <c r="M803" s="3" t="n">
        <v>0</v>
      </c>
      <c r="N803" s="3" t="n">
        <v>0</v>
      </c>
      <c r="O803" s="3" t="n">
        <v>0</v>
      </c>
      <c r="P803" s="3" t="n">
        <v>0</v>
      </c>
      <c r="Q803" s="3">
        <f>SUM(L803:P803)-I803</f>
        <v/>
      </c>
    </row>
    <row r="804">
      <c r="A804" s="2" t="inlineStr">
        <is>
          <t>harry-cunningham</t>
        </is>
      </c>
      <c r="B804" s="2" t="inlineStr">
        <is>
          <t>Harry Cunningham</t>
        </is>
      </c>
      <c r="C804" s="2" t="inlineStr">
        <is>
          <t>Sydney</t>
        </is>
      </c>
      <c r="D804" s="2" t="inlineStr">
        <is>
          <t>SD</t>
        </is>
      </c>
      <c r="E804" s="2" t="n">
        <v>33</v>
      </c>
      <c r="F804" s="2" t="inlineStr">
        <is>
          <t>Post-Draft - Academy (pool)</t>
        </is>
      </c>
      <c r="G804" s="3" t="n">
        <v>10</v>
      </c>
      <c r="H804" s="3" t="n">
        <v>10</v>
      </c>
      <c r="I804" s="3">
        <f>H804-G804</f>
        <v/>
      </c>
      <c r="J804" s="4">
        <f>IF(G804=0,"",(H804-G804)/G804)</f>
        <v/>
      </c>
      <c r="K804" s="4">
        <f>IF(G804=0,"",(H804-G804*0.891738)/(G804*0.891738))</f>
        <v/>
      </c>
      <c r="L804" s="3" t="n">
        <v>0</v>
      </c>
      <c r="M804" s="3" t="n">
        <v>0</v>
      </c>
      <c r="N804" s="3" t="n">
        <v>0</v>
      </c>
      <c r="O804" s="3" t="n">
        <v>0</v>
      </c>
      <c r="P804" s="3" t="n">
        <v>0</v>
      </c>
      <c r="Q804" s="3">
        <f>SUM(L804:P804)-I804</f>
        <v/>
      </c>
    </row>
    <row r="805">
      <c r="A805" s="2" t="inlineStr">
        <is>
          <t>jake-melksham</t>
        </is>
      </c>
      <c r="B805" s="2" t="inlineStr">
        <is>
          <t>Jake Melksham</t>
        </is>
      </c>
      <c r="C805" s="2" t="inlineStr">
        <is>
          <t>Melbourne</t>
        </is>
      </c>
      <c r="D805" s="2" t="inlineStr">
        <is>
          <t>KPF</t>
        </is>
      </c>
      <c r="E805" s="2" t="n">
        <v>35</v>
      </c>
      <c r="F805" s="2" t="inlineStr">
        <is>
          <t>National pick 10</t>
        </is>
      </c>
      <c r="G805" s="3" t="n">
        <v>49</v>
      </c>
      <c r="H805" s="3" t="n">
        <v>48</v>
      </c>
      <c r="I805" s="3">
        <f>H805-G805</f>
        <v/>
      </c>
      <c r="J805" s="4">
        <f>IF(G805=0,"",(H805-G805)/G805)</f>
        <v/>
      </c>
      <c r="K805" s="4">
        <f>IF(G805=0,"",(H805-G805*0.891738)/(G805*0.891738))</f>
        <v/>
      </c>
      <c r="L805" s="3" t="n">
        <v>0</v>
      </c>
      <c r="M805" s="3" t="n">
        <v>0</v>
      </c>
      <c r="N805" s="3" t="n">
        <v>-1</v>
      </c>
      <c r="O805" s="3" t="n">
        <v>0</v>
      </c>
      <c r="P805" s="3" t="n">
        <v>0</v>
      </c>
      <c r="Q805" s="3">
        <f>SUM(L805:P805)-I805</f>
        <v/>
      </c>
    </row>
  </sheetData>
  <autoFilter ref="A1:Q80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30" customWidth="1" min="3" max="3"/>
    <col width="16" customWidth="1" min="4" max="4"/>
    <col width="14" customWidth="1" min="5" max="5"/>
    <col width="30" customWidth="1" min="6" max="6"/>
  </cols>
  <sheetData>
    <row r="1">
      <c r="A1" s="1" t="inlineStr">
        <is>
          <t>pick</t>
        </is>
      </c>
      <c r="B1" s="1" t="inlineStr">
        <is>
          <t>OLD ladder value — shipped (pvc_curve_v2 curve_md5 df766dff)</t>
        </is>
      </c>
      <c r="C1" s="1" t="inlineStr">
        <is>
          <t>NEW ladder value — final (pvc_curve_v2 curve_md5 18203822)</t>
        </is>
      </c>
      <c r="D1" s="1" t="inlineStr">
        <is>
          <t>abs Δ (NEW − OLD)</t>
        </is>
      </c>
      <c r="E1" s="1" t="inlineStr">
        <is>
          <t>% Δ (of OLD)</t>
        </is>
      </c>
      <c r="F1" s="1" t="inlineStr">
        <is>
          <t>Δ from stage 4 (b56bbdde − b490ae8b)</t>
        </is>
      </c>
    </row>
    <row r="2">
      <c r="A2" s="2" t="n">
        <v>1</v>
      </c>
      <c r="B2" s="3" t="n">
        <v>3000</v>
      </c>
      <c r="C2" s="3" t="n">
        <v>3000</v>
      </c>
      <c r="D2" s="3">
        <f>C2-B2</f>
        <v/>
      </c>
      <c r="E2" s="4">
        <f>IF(B2=0,"",(C2-B2)/B2)</f>
        <v/>
      </c>
      <c r="F2" s="3" t="n">
        <v>0</v>
      </c>
    </row>
    <row r="3">
      <c r="A3" s="2" t="n">
        <v>2</v>
      </c>
      <c r="B3" s="3" t="n">
        <v>2999</v>
      </c>
      <c r="C3" s="3" t="n">
        <v>2976</v>
      </c>
      <c r="D3" s="3">
        <f>C3-B3</f>
        <v/>
      </c>
      <c r="E3" s="4">
        <f>IF(B3=0,"",(C3-B3)/B3)</f>
        <v/>
      </c>
      <c r="F3" s="3" t="n">
        <v>0</v>
      </c>
    </row>
    <row r="4">
      <c r="A4" s="2" t="n">
        <v>3</v>
      </c>
      <c r="B4" s="3" t="n">
        <v>2874</v>
      </c>
      <c r="C4" s="3" t="n">
        <v>2874</v>
      </c>
      <c r="D4" s="3">
        <f>C4-B4</f>
        <v/>
      </c>
      <c r="E4" s="4">
        <f>IF(B4=0,"",(C4-B4)/B4)</f>
        <v/>
      </c>
      <c r="F4" s="3" t="n">
        <v>0</v>
      </c>
    </row>
    <row r="5">
      <c r="A5" s="2" t="n">
        <v>4</v>
      </c>
      <c r="B5" s="3" t="n">
        <v>2424</v>
      </c>
      <c r="C5" s="3" t="n">
        <v>2410</v>
      </c>
      <c r="D5" s="3">
        <f>C5-B5</f>
        <v/>
      </c>
      <c r="E5" s="4">
        <f>IF(B5=0,"",(C5-B5)/B5)</f>
        <v/>
      </c>
      <c r="F5" s="3" t="n">
        <v>0</v>
      </c>
    </row>
    <row r="6">
      <c r="A6" s="2" t="n">
        <v>5</v>
      </c>
      <c r="B6" s="3" t="n">
        <v>1881</v>
      </c>
      <c r="C6" s="3" t="n">
        <v>1849</v>
      </c>
      <c r="D6" s="3">
        <f>C6-B6</f>
        <v/>
      </c>
      <c r="E6" s="4">
        <f>IF(B6=0,"",(C6-B6)/B6)</f>
        <v/>
      </c>
      <c r="F6" s="3" t="n">
        <v>0</v>
      </c>
    </row>
    <row r="7">
      <c r="A7" s="2" t="n">
        <v>6</v>
      </c>
      <c r="B7" s="3" t="n">
        <v>1550</v>
      </c>
      <c r="C7" s="3" t="n">
        <v>1511</v>
      </c>
      <c r="D7" s="3">
        <f>C7-B7</f>
        <v/>
      </c>
      <c r="E7" s="4">
        <f>IF(B7=0,"",(C7-B7)/B7)</f>
        <v/>
      </c>
      <c r="F7" s="3" t="n">
        <v>0</v>
      </c>
    </row>
    <row r="8">
      <c r="A8" s="2" t="n">
        <v>7</v>
      </c>
      <c r="B8" s="3" t="n">
        <v>1549</v>
      </c>
      <c r="C8" s="3" t="n">
        <v>1507</v>
      </c>
      <c r="D8" s="3">
        <f>C8-B8</f>
        <v/>
      </c>
      <c r="E8" s="4">
        <f>IF(B8=0,"",(C8-B8)/B8)</f>
        <v/>
      </c>
      <c r="F8" s="3" t="n">
        <v>0</v>
      </c>
    </row>
    <row r="9">
      <c r="A9" s="2" t="n">
        <v>8</v>
      </c>
      <c r="B9" s="3" t="n">
        <v>1548</v>
      </c>
      <c r="C9" s="3" t="n">
        <v>1503</v>
      </c>
      <c r="D9" s="3">
        <f>C9-B9</f>
        <v/>
      </c>
      <c r="E9" s="4">
        <f>IF(B9=0,"",(C9-B9)/B9)</f>
        <v/>
      </c>
      <c r="F9" s="3" t="n">
        <v>0</v>
      </c>
    </row>
    <row r="10">
      <c r="A10" s="2" t="n">
        <v>9</v>
      </c>
      <c r="B10" s="3" t="n">
        <v>1475</v>
      </c>
      <c r="C10" s="3" t="n">
        <v>1449</v>
      </c>
      <c r="D10" s="3">
        <f>C10-B10</f>
        <v/>
      </c>
      <c r="E10" s="4">
        <f>IF(B10=0,"",(C10-B10)/B10)</f>
        <v/>
      </c>
      <c r="F10" s="3" t="n">
        <v>0</v>
      </c>
    </row>
    <row r="11">
      <c r="A11" s="2" t="n">
        <v>10</v>
      </c>
      <c r="B11" s="3" t="n">
        <v>1460</v>
      </c>
      <c r="C11" s="3" t="n">
        <v>1412</v>
      </c>
      <c r="D11" s="3">
        <f>C11-B11</f>
        <v/>
      </c>
      <c r="E11" s="4">
        <f>IF(B11=0,"",(C11-B11)/B11)</f>
        <v/>
      </c>
      <c r="F11" s="3" t="n">
        <v>0</v>
      </c>
    </row>
    <row r="12">
      <c r="A12" s="2" t="n">
        <v>11</v>
      </c>
      <c r="B12" s="3" t="n">
        <v>1459</v>
      </c>
      <c r="C12" s="3" t="n">
        <v>1408</v>
      </c>
      <c r="D12" s="3">
        <f>C12-B12</f>
        <v/>
      </c>
      <c r="E12" s="4">
        <f>IF(B12=0,"",(C12-B12)/B12)</f>
        <v/>
      </c>
      <c r="F12" s="3" t="n">
        <v>0</v>
      </c>
    </row>
    <row r="13">
      <c r="A13" s="2" t="n">
        <v>12</v>
      </c>
      <c r="B13" s="3" t="n">
        <v>1458</v>
      </c>
      <c r="C13" s="3" t="n">
        <v>1405</v>
      </c>
      <c r="D13" s="3">
        <f>C13-B13</f>
        <v/>
      </c>
      <c r="E13" s="4">
        <f>IF(B13=0,"",(C13-B13)/B13)</f>
        <v/>
      </c>
      <c r="F13" s="3" t="n">
        <v>0</v>
      </c>
    </row>
    <row r="14">
      <c r="A14" s="2" t="n">
        <v>13</v>
      </c>
      <c r="B14" s="3" t="n">
        <v>1347</v>
      </c>
      <c r="C14" s="3" t="n">
        <v>1281</v>
      </c>
      <c r="D14" s="3">
        <f>C14-B14</f>
        <v/>
      </c>
      <c r="E14" s="4">
        <f>IF(B14=0,"",(C14-B14)/B14)</f>
        <v/>
      </c>
      <c r="F14" s="3" t="n">
        <v>0</v>
      </c>
    </row>
    <row r="15">
      <c r="A15" s="2" t="n">
        <v>14</v>
      </c>
      <c r="B15" s="3" t="n">
        <v>1165</v>
      </c>
      <c r="C15" s="3" t="n">
        <v>1103</v>
      </c>
      <c r="D15" s="3">
        <f>C15-B15</f>
        <v/>
      </c>
      <c r="E15" s="4">
        <f>IF(B15=0,"",(C15-B15)/B15)</f>
        <v/>
      </c>
      <c r="F15" s="3" t="n">
        <v>0</v>
      </c>
    </row>
    <row r="16">
      <c r="A16" s="2" t="n">
        <v>15</v>
      </c>
      <c r="B16" s="3" t="n">
        <v>1030</v>
      </c>
      <c r="C16" s="3" t="n">
        <v>974</v>
      </c>
      <c r="D16" s="3">
        <f>C16-B16</f>
        <v/>
      </c>
      <c r="E16" s="4">
        <f>IF(B16=0,"",(C16-B16)/B16)</f>
        <v/>
      </c>
      <c r="F16" s="3" t="n">
        <v>0</v>
      </c>
    </row>
    <row r="17">
      <c r="A17" s="2" t="n">
        <v>16</v>
      </c>
      <c r="B17" s="3" t="n">
        <v>1004</v>
      </c>
      <c r="C17" s="3" t="n">
        <v>960</v>
      </c>
      <c r="D17" s="3">
        <f>C17-B17</f>
        <v/>
      </c>
      <c r="E17" s="4">
        <f>IF(B17=0,"",(C17-B17)/B17)</f>
        <v/>
      </c>
      <c r="F17" s="3" t="n">
        <v>0</v>
      </c>
    </row>
    <row r="18">
      <c r="A18" s="2" t="n">
        <v>17</v>
      </c>
      <c r="B18" s="3" t="n">
        <v>1003</v>
      </c>
      <c r="C18" s="3" t="n">
        <v>959</v>
      </c>
      <c r="D18" s="3">
        <f>C18-B18</f>
        <v/>
      </c>
      <c r="E18" s="4">
        <f>IF(B18=0,"",(C18-B18)/B18)</f>
        <v/>
      </c>
      <c r="F18" s="3" t="n">
        <v>0</v>
      </c>
    </row>
    <row r="19">
      <c r="A19" s="2" t="n">
        <v>18</v>
      </c>
      <c r="B19" s="3" t="n">
        <v>1002</v>
      </c>
      <c r="C19" s="3" t="n">
        <v>958</v>
      </c>
      <c r="D19" s="3">
        <f>C19-B19</f>
        <v/>
      </c>
      <c r="E19" s="4">
        <f>IF(B19=0,"",(C19-B19)/B19)</f>
        <v/>
      </c>
      <c r="F19" s="3" t="n">
        <v>0</v>
      </c>
    </row>
    <row r="20">
      <c r="A20" s="2" t="n">
        <v>19</v>
      </c>
      <c r="B20" s="3" t="n">
        <v>1001</v>
      </c>
      <c r="C20" s="3" t="n">
        <v>957</v>
      </c>
      <c r="D20" s="3">
        <f>C20-B20</f>
        <v/>
      </c>
      <c r="E20" s="4">
        <f>IF(B20=0,"",(C20-B20)/B20)</f>
        <v/>
      </c>
      <c r="F20" s="3" t="n">
        <v>0</v>
      </c>
    </row>
    <row r="21">
      <c r="A21" s="2" t="n">
        <v>20</v>
      </c>
      <c r="B21" s="3" t="n">
        <v>990</v>
      </c>
      <c r="C21" s="3" t="n">
        <v>952</v>
      </c>
      <c r="D21" s="3">
        <f>C21-B21</f>
        <v/>
      </c>
      <c r="E21" s="4">
        <f>IF(B21=0,"",(C21-B21)/B21)</f>
        <v/>
      </c>
      <c r="F21" s="3" t="n">
        <v>0</v>
      </c>
    </row>
    <row r="22">
      <c r="A22" s="2" t="n">
        <v>21</v>
      </c>
      <c r="B22" s="3" t="n">
        <v>942</v>
      </c>
      <c r="C22" s="3" t="n">
        <v>906</v>
      </c>
      <c r="D22" s="3">
        <f>C22-B22</f>
        <v/>
      </c>
      <c r="E22" s="4">
        <f>IF(B22=0,"",(C22-B22)/B22)</f>
        <v/>
      </c>
      <c r="F22" s="3" t="n">
        <v>0</v>
      </c>
    </row>
    <row r="23">
      <c r="A23" s="2" t="n">
        <v>22</v>
      </c>
      <c r="B23" s="3" t="n">
        <v>887</v>
      </c>
      <c r="C23" s="3" t="n">
        <v>852</v>
      </c>
      <c r="D23" s="3">
        <f>C23-B23</f>
        <v/>
      </c>
      <c r="E23" s="4">
        <f>IF(B23=0,"",(C23-B23)/B23)</f>
        <v/>
      </c>
      <c r="F23" s="3" t="n">
        <v>0</v>
      </c>
    </row>
    <row r="24">
      <c r="A24" s="2" t="n">
        <v>23</v>
      </c>
      <c r="B24" s="3" t="n">
        <v>836</v>
      </c>
      <c r="C24" s="3" t="n">
        <v>804</v>
      </c>
      <c r="D24" s="3">
        <f>C24-B24</f>
        <v/>
      </c>
      <c r="E24" s="4">
        <f>IF(B24=0,"",(C24-B24)/B24)</f>
        <v/>
      </c>
      <c r="F24" s="3" t="n">
        <v>0</v>
      </c>
    </row>
    <row r="25">
      <c r="A25" s="2" t="n">
        <v>24</v>
      </c>
      <c r="B25" s="3" t="n">
        <v>795</v>
      </c>
      <c r="C25" s="3" t="n">
        <v>763</v>
      </c>
      <c r="D25" s="3">
        <f>C25-B25</f>
        <v/>
      </c>
      <c r="E25" s="4">
        <f>IF(B25=0,"",(C25-B25)/B25)</f>
        <v/>
      </c>
      <c r="F25" s="3" t="n">
        <v>0</v>
      </c>
    </row>
    <row r="26">
      <c r="A26" s="2" t="n">
        <v>25</v>
      </c>
      <c r="B26" s="3" t="n">
        <v>763</v>
      </c>
      <c r="C26" s="3" t="n">
        <v>731</v>
      </c>
      <c r="D26" s="3">
        <f>C26-B26</f>
        <v/>
      </c>
      <c r="E26" s="4">
        <f>IF(B26=0,"",(C26-B26)/B26)</f>
        <v/>
      </c>
      <c r="F26" s="3" t="n">
        <v>0</v>
      </c>
    </row>
    <row r="27">
      <c r="A27" s="2" t="n">
        <v>26</v>
      </c>
      <c r="B27" s="3" t="n">
        <v>739</v>
      </c>
      <c r="C27" s="3" t="n">
        <v>707</v>
      </c>
      <c r="D27" s="3">
        <f>C27-B27</f>
        <v/>
      </c>
      <c r="E27" s="4">
        <f>IF(B27=0,"",(C27-B27)/B27)</f>
        <v/>
      </c>
      <c r="F27" s="3" t="n">
        <v>0</v>
      </c>
    </row>
    <row r="28">
      <c r="A28" s="2" t="n">
        <v>27</v>
      </c>
      <c r="B28" s="3" t="n">
        <v>719</v>
      </c>
      <c r="C28" s="3" t="n">
        <v>687</v>
      </c>
      <c r="D28" s="3">
        <f>C28-B28</f>
        <v/>
      </c>
      <c r="E28" s="4">
        <f>IF(B28=0,"",(C28-B28)/B28)</f>
        <v/>
      </c>
      <c r="F28" s="3" t="n">
        <v>0</v>
      </c>
    </row>
    <row r="29">
      <c r="A29" s="2" t="n">
        <v>28</v>
      </c>
      <c r="B29" s="3" t="n">
        <v>702</v>
      </c>
      <c r="C29" s="3" t="n">
        <v>670</v>
      </c>
      <c r="D29" s="3">
        <f>C29-B29</f>
        <v/>
      </c>
      <c r="E29" s="4">
        <f>IF(B29=0,"",(C29-B29)/B29)</f>
        <v/>
      </c>
      <c r="F29" s="3" t="n">
        <v>0</v>
      </c>
    </row>
    <row r="30">
      <c r="A30" s="2" t="n">
        <v>29</v>
      </c>
      <c r="B30" s="3" t="n">
        <v>684</v>
      </c>
      <c r="C30" s="3" t="n">
        <v>653</v>
      </c>
      <c r="D30" s="3">
        <f>C30-B30</f>
        <v/>
      </c>
      <c r="E30" s="4">
        <f>IF(B30=0,"",(C30-B30)/B30)</f>
        <v/>
      </c>
      <c r="F30" s="3" t="n">
        <v>0</v>
      </c>
    </row>
    <row r="31">
      <c r="A31" s="2" t="n">
        <v>30</v>
      </c>
      <c r="B31" s="3" t="n">
        <v>663</v>
      </c>
      <c r="C31" s="3" t="n">
        <v>633</v>
      </c>
      <c r="D31" s="3">
        <f>C31-B31</f>
        <v/>
      </c>
      <c r="E31" s="4">
        <f>IF(B31=0,"",(C31-B31)/B31)</f>
        <v/>
      </c>
      <c r="F31" s="3" t="n">
        <v>0</v>
      </c>
    </row>
    <row r="32">
      <c r="A32" s="2" t="n">
        <v>31</v>
      </c>
      <c r="B32" s="3" t="n">
        <v>641</v>
      </c>
      <c r="C32" s="3" t="n">
        <v>612</v>
      </c>
      <c r="D32" s="3">
        <f>C32-B32</f>
        <v/>
      </c>
      <c r="E32" s="4">
        <f>IF(B32=0,"",(C32-B32)/B32)</f>
        <v/>
      </c>
      <c r="F32" s="3" t="n">
        <v>0</v>
      </c>
    </row>
    <row r="33">
      <c r="A33" s="2" t="n">
        <v>32</v>
      </c>
      <c r="B33" s="3" t="n">
        <v>618</v>
      </c>
      <c r="C33" s="3" t="n">
        <v>589</v>
      </c>
      <c r="D33" s="3">
        <f>C33-B33</f>
        <v/>
      </c>
      <c r="E33" s="4">
        <f>IF(B33=0,"",(C33-B33)/B33)</f>
        <v/>
      </c>
      <c r="F33" s="3" t="n">
        <v>0</v>
      </c>
    </row>
    <row r="34">
      <c r="A34" s="2" t="n">
        <v>33</v>
      </c>
      <c r="B34" s="3" t="n">
        <v>596</v>
      </c>
      <c r="C34" s="3" t="n">
        <v>566</v>
      </c>
      <c r="D34" s="3">
        <f>C34-B34</f>
        <v/>
      </c>
      <c r="E34" s="4">
        <f>IF(B34=0,"",(C34-B34)/B34)</f>
        <v/>
      </c>
      <c r="F34" s="3" t="n">
        <v>0</v>
      </c>
    </row>
    <row r="35">
      <c r="A35" s="2" t="n">
        <v>34</v>
      </c>
      <c r="B35" s="3" t="n">
        <v>577</v>
      </c>
      <c r="C35" s="3" t="n">
        <v>547</v>
      </c>
      <c r="D35" s="3">
        <f>C35-B35</f>
        <v/>
      </c>
      <c r="E35" s="4">
        <f>IF(B35=0,"",(C35-B35)/B35)</f>
        <v/>
      </c>
      <c r="F35" s="3" t="n">
        <v>0</v>
      </c>
    </row>
    <row r="36">
      <c r="A36" s="2" t="n">
        <v>35</v>
      </c>
      <c r="B36" s="3" t="n">
        <v>561</v>
      </c>
      <c r="C36" s="3" t="n">
        <v>530</v>
      </c>
      <c r="D36" s="3">
        <f>C36-B36</f>
        <v/>
      </c>
      <c r="E36" s="4">
        <f>IF(B36=0,"",(C36-B36)/B36)</f>
        <v/>
      </c>
      <c r="F36" s="3" t="n">
        <v>0</v>
      </c>
    </row>
    <row r="37">
      <c r="A37" s="2" t="n">
        <v>36</v>
      </c>
      <c r="B37" s="3" t="n">
        <v>549</v>
      </c>
      <c r="C37" s="3" t="n">
        <v>516</v>
      </c>
      <c r="D37" s="3">
        <f>C37-B37</f>
        <v/>
      </c>
      <c r="E37" s="4">
        <f>IF(B37=0,"",(C37-B37)/B37)</f>
        <v/>
      </c>
      <c r="F37" s="3" t="n">
        <v>0</v>
      </c>
    </row>
    <row r="38">
      <c r="A38" s="2" t="n">
        <v>37</v>
      </c>
      <c r="B38" s="3" t="n">
        <v>539</v>
      </c>
      <c r="C38" s="3" t="n">
        <v>505</v>
      </c>
      <c r="D38" s="3">
        <f>C38-B38</f>
        <v/>
      </c>
      <c r="E38" s="4">
        <f>IF(B38=0,"",(C38-B38)/B38)</f>
        <v/>
      </c>
      <c r="F38" s="3" t="n">
        <v>0</v>
      </c>
    </row>
    <row r="39">
      <c r="A39" s="2" t="n">
        <v>38</v>
      </c>
      <c r="B39" s="3" t="n">
        <v>531</v>
      </c>
      <c r="C39" s="3" t="n">
        <v>496</v>
      </c>
      <c r="D39" s="3">
        <f>C39-B39</f>
        <v/>
      </c>
      <c r="E39" s="4">
        <f>IF(B39=0,"",(C39-B39)/B39)</f>
        <v/>
      </c>
      <c r="F39" s="3" t="n">
        <v>0</v>
      </c>
    </row>
    <row r="40">
      <c r="A40" s="2" t="n">
        <v>39</v>
      </c>
      <c r="B40" s="3" t="n">
        <v>523</v>
      </c>
      <c r="C40" s="3" t="n">
        <v>486</v>
      </c>
      <c r="D40" s="3">
        <f>C40-B40</f>
        <v/>
      </c>
      <c r="E40" s="4">
        <f>IF(B40=0,"",(C40-B40)/B40)</f>
        <v/>
      </c>
      <c r="F40" s="3" t="n">
        <v>0</v>
      </c>
    </row>
    <row r="41">
      <c r="A41" s="2" t="n">
        <v>40</v>
      </c>
      <c r="B41" s="3" t="n">
        <v>514</v>
      </c>
      <c r="C41" s="3" t="n">
        <v>476</v>
      </c>
      <c r="D41" s="3">
        <f>C41-B41</f>
        <v/>
      </c>
      <c r="E41" s="4">
        <f>IF(B41=0,"",(C41-B41)/B41)</f>
        <v/>
      </c>
      <c r="F41" s="3" t="n">
        <v>0</v>
      </c>
    </row>
    <row r="42">
      <c r="A42" s="2" t="n">
        <v>41</v>
      </c>
      <c r="B42" s="3" t="n">
        <v>502</v>
      </c>
      <c r="C42" s="3" t="n">
        <v>462</v>
      </c>
      <c r="D42" s="3">
        <f>C42-B42</f>
        <v/>
      </c>
      <c r="E42" s="4">
        <f>IF(B42=0,"",(C42-B42)/B42)</f>
        <v/>
      </c>
      <c r="F42" s="3" t="n">
        <v>0</v>
      </c>
    </row>
    <row r="43">
      <c r="A43" s="2" t="n">
        <v>42</v>
      </c>
      <c r="B43" s="3" t="n">
        <v>487</v>
      </c>
      <c r="C43" s="3" t="n">
        <v>447</v>
      </c>
      <c r="D43" s="3">
        <f>C43-B43</f>
        <v/>
      </c>
      <c r="E43" s="4">
        <f>IF(B43=0,"",(C43-B43)/B43)</f>
        <v/>
      </c>
      <c r="F43" s="3" t="n">
        <v>0</v>
      </c>
    </row>
    <row r="44">
      <c r="A44" s="2" t="n">
        <v>43</v>
      </c>
      <c r="B44" s="3" t="n">
        <v>470</v>
      </c>
      <c r="C44" s="3" t="n">
        <v>428</v>
      </c>
      <c r="D44" s="3">
        <f>C44-B44</f>
        <v/>
      </c>
      <c r="E44" s="4">
        <f>IF(B44=0,"",(C44-B44)/B44)</f>
        <v/>
      </c>
      <c r="F44" s="3" t="n">
        <v>0</v>
      </c>
    </row>
    <row r="45">
      <c r="A45" s="2" t="n">
        <v>44</v>
      </c>
      <c r="B45" s="3" t="n">
        <v>450</v>
      </c>
      <c r="C45" s="3" t="n">
        <v>408</v>
      </c>
      <c r="D45" s="3">
        <f>C45-B45</f>
        <v/>
      </c>
      <c r="E45" s="4">
        <f>IF(B45=0,"",(C45-B45)/B45)</f>
        <v/>
      </c>
      <c r="F45" s="3" t="n">
        <v>0</v>
      </c>
    </row>
    <row r="46">
      <c r="A46" s="2" t="n">
        <v>45</v>
      </c>
      <c r="B46" s="3" t="n">
        <v>429</v>
      </c>
      <c r="C46" s="3" t="n">
        <v>388</v>
      </c>
      <c r="D46" s="3">
        <f>C46-B46</f>
        <v/>
      </c>
      <c r="E46" s="4">
        <f>IF(B46=0,"",(C46-B46)/B46)</f>
        <v/>
      </c>
      <c r="F46" s="3" t="n">
        <v>0</v>
      </c>
    </row>
    <row r="47">
      <c r="A47" s="2" t="n">
        <v>46</v>
      </c>
      <c r="B47" s="3" t="n">
        <v>409</v>
      </c>
      <c r="C47" s="3" t="n">
        <v>367</v>
      </c>
      <c r="D47" s="3">
        <f>C47-B47</f>
        <v/>
      </c>
      <c r="E47" s="4">
        <f>IF(B47=0,"",(C47-B47)/B47)</f>
        <v/>
      </c>
      <c r="F47" s="3" t="n">
        <v>0</v>
      </c>
    </row>
    <row r="48">
      <c r="A48" s="2" t="n">
        <v>47</v>
      </c>
      <c r="B48" s="3" t="n">
        <v>390</v>
      </c>
      <c r="C48" s="3" t="n">
        <v>348</v>
      </c>
      <c r="D48" s="3">
        <f>C48-B48</f>
        <v/>
      </c>
      <c r="E48" s="4">
        <f>IF(B48=0,"",(C48-B48)/B48)</f>
        <v/>
      </c>
      <c r="F48" s="3" t="n">
        <v>0</v>
      </c>
    </row>
    <row r="49">
      <c r="A49" s="2" t="n">
        <v>48</v>
      </c>
      <c r="B49" s="3" t="n">
        <v>373</v>
      </c>
      <c r="C49" s="3" t="n">
        <v>330</v>
      </c>
      <c r="D49" s="3">
        <f>C49-B49</f>
        <v/>
      </c>
      <c r="E49" s="4">
        <f>IF(B49=0,"",(C49-B49)/B49)</f>
        <v/>
      </c>
      <c r="F49" s="3" t="n">
        <v>0</v>
      </c>
    </row>
    <row r="50">
      <c r="A50" s="2" t="n">
        <v>49</v>
      </c>
      <c r="B50" s="3" t="n">
        <v>358</v>
      </c>
      <c r="C50" s="3" t="n">
        <v>315</v>
      </c>
      <c r="D50" s="3">
        <f>C50-B50</f>
        <v/>
      </c>
      <c r="E50" s="4">
        <f>IF(B50=0,"",(C50-B50)/B50)</f>
        <v/>
      </c>
      <c r="F50" s="3" t="n">
        <v>0</v>
      </c>
    </row>
    <row r="51">
      <c r="A51" s="2" t="n">
        <v>50</v>
      </c>
      <c r="B51" s="3" t="n">
        <v>346</v>
      </c>
      <c r="C51" s="3" t="n">
        <v>301</v>
      </c>
      <c r="D51" s="3">
        <f>C51-B51</f>
        <v/>
      </c>
      <c r="E51" s="4">
        <f>IF(B51=0,"",(C51-B51)/B51)</f>
        <v/>
      </c>
      <c r="F51" s="3" t="n">
        <v>0</v>
      </c>
    </row>
    <row r="52">
      <c r="A52" s="2" t="n">
        <v>51</v>
      </c>
      <c r="B52" s="3" t="n">
        <v>338</v>
      </c>
      <c r="C52" s="3" t="n">
        <v>289</v>
      </c>
      <c r="D52" s="3">
        <f>C52-B52</f>
        <v/>
      </c>
      <c r="E52" s="4">
        <f>IF(B52=0,"",(C52-B52)/B52)</f>
        <v/>
      </c>
      <c r="F52" s="3" t="n">
        <v>0</v>
      </c>
    </row>
    <row r="53">
      <c r="A53" s="2" t="n">
        <v>52</v>
      </c>
      <c r="B53" s="3" t="n">
        <v>327</v>
      </c>
      <c r="C53" s="3" t="n">
        <v>279</v>
      </c>
      <c r="D53" s="3">
        <f>C53-B53</f>
        <v/>
      </c>
      <c r="E53" s="4">
        <f>IF(B53=0,"",(C53-B53)/B53)</f>
        <v/>
      </c>
      <c r="F53" s="3" t="n">
        <v>0</v>
      </c>
    </row>
    <row r="54">
      <c r="A54" s="2" t="n">
        <v>53</v>
      </c>
      <c r="B54" s="3" t="n">
        <v>317</v>
      </c>
      <c r="C54" s="3" t="n">
        <v>270</v>
      </c>
      <c r="D54" s="3">
        <f>C54-B54</f>
        <v/>
      </c>
      <c r="E54" s="4">
        <f>IF(B54=0,"",(C54-B54)/B54)</f>
        <v/>
      </c>
      <c r="F54" s="3" t="n">
        <v>0</v>
      </c>
    </row>
    <row r="55">
      <c r="A55" s="2" t="n">
        <v>54</v>
      </c>
      <c r="B55" s="3" t="n">
        <v>308</v>
      </c>
      <c r="C55" s="3" t="n">
        <v>261</v>
      </c>
      <c r="D55" s="3">
        <f>C55-B55</f>
        <v/>
      </c>
      <c r="E55" s="4">
        <f>IF(B55=0,"",(C55-B55)/B55)</f>
        <v/>
      </c>
      <c r="F55" s="3" t="n">
        <v>0</v>
      </c>
    </row>
    <row r="56">
      <c r="A56" s="2" t="n">
        <v>55</v>
      </c>
      <c r="B56" s="3" t="n">
        <v>298</v>
      </c>
      <c r="C56" s="3" t="n">
        <v>252</v>
      </c>
      <c r="D56" s="3">
        <f>C56-B56</f>
        <v/>
      </c>
      <c r="E56" s="4">
        <f>IF(B56=0,"",(C56-B56)/B56)</f>
        <v/>
      </c>
      <c r="F56" s="3" t="n">
        <v>0</v>
      </c>
    </row>
    <row r="57">
      <c r="A57" s="2" t="n">
        <v>56</v>
      </c>
      <c r="B57" s="3" t="n">
        <v>288</v>
      </c>
      <c r="C57" s="3" t="n">
        <v>244</v>
      </c>
      <c r="D57" s="3">
        <f>C57-B57</f>
        <v/>
      </c>
      <c r="E57" s="4">
        <f>IF(B57=0,"",(C57-B57)/B57)</f>
        <v/>
      </c>
      <c r="F57" s="3" t="n">
        <v>0</v>
      </c>
    </row>
    <row r="58">
      <c r="A58" s="2" t="n">
        <v>57</v>
      </c>
      <c r="B58" s="3" t="n">
        <v>277</v>
      </c>
      <c r="C58" s="3" t="n">
        <v>234</v>
      </c>
      <c r="D58" s="3">
        <f>C58-B58</f>
        <v/>
      </c>
      <c r="E58" s="4">
        <f>IF(B58=0,"",(C58-B58)/B58)</f>
        <v/>
      </c>
      <c r="F58" s="3" t="n">
        <v>0</v>
      </c>
    </row>
    <row r="59">
      <c r="A59" s="2" t="n">
        <v>58</v>
      </c>
      <c r="B59" s="3" t="n">
        <v>265</v>
      </c>
      <c r="C59" s="3" t="n">
        <v>226</v>
      </c>
      <c r="D59" s="3">
        <f>C59-B59</f>
        <v/>
      </c>
      <c r="E59" s="4">
        <f>IF(B59=0,"",(C59-B59)/B59)</f>
        <v/>
      </c>
      <c r="F59" s="3" t="n">
        <v>0</v>
      </c>
    </row>
    <row r="60">
      <c r="A60" s="2" t="n">
        <v>59</v>
      </c>
      <c r="B60" s="3" t="n">
        <v>252</v>
      </c>
      <c r="C60" s="3" t="n">
        <v>218</v>
      </c>
      <c r="D60" s="3">
        <f>C60-B60</f>
        <v/>
      </c>
      <c r="E60" s="4">
        <f>IF(B60=0,"",(C60-B60)/B60)</f>
        <v/>
      </c>
      <c r="F60" s="3" t="n">
        <v>0</v>
      </c>
    </row>
    <row r="61">
      <c r="A61" s="2" t="n">
        <v>60</v>
      </c>
      <c r="B61" s="3" t="n">
        <v>238</v>
      </c>
      <c r="C61" s="3" t="n">
        <v>210</v>
      </c>
      <c r="D61" s="3">
        <f>C61-B61</f>
        <v/>
      </c>
      <c r="E61" s="4">
        <f>IF(B61=0,"",(C61-B61)/B61)</f>
        <v/>
      </c>
      <c r="F61" s="3" t="n">
        <v>0</v>
      </c>
    </row>
    <row r="62">
      <c r="A62" s="2" t="n">
        <v>61</v>
      </c>
      <c r="B62" s="3" t="n">
        <v>224</v>
      </c>
      <c r="C62" s="3" t="n">
        <v>202</v>
      </c>
      <c r="D62" s="3">
        <f>C62-B62</f>
        <v/>
      </c>
      <c r="E62" s="4">
        <f>IF(B62=0,"",(C62-B62)/B62)</f>
        <v/>
      </c>
      <c r="F62" s="3" t="n">
        <v>0</v>
      </c>
    </row>
    <row r="63">
      <c r="A63" s="2" t="n">
        <v>62</v>
      </c>
      <c r="B63" s="3" t="n">
        <v>210</v>
      </c>
      <c r="C63" s="3" t="n">
        <v>195</v>
      </c>
      <c r="D63" s="3">
        <f>C63-B63</f>
        <v/>
      </c>
      <c r="E63" s="4">
        <f>IF(B63=0,"",(C63-B63)/B63)</f>
        <v/>
      </c>
      <c r="F63" s="3" t="n">
        <v>0</v>
      </c>
    </row>
    <row r="64">
      <c r="A64" s="2" t="n">
        <v>63</v>
      </c>
      <c r="B64" s="3" t="n">
        <v>197</v>
      </c>
      <c r="C64" s="3" t="n">
        <v>188</v>
      </c>
      <c r="D64" s="3">
        <f>C64-B64</f>
        <v/>
      </c>
      <c r="E64" s="4">
        <f>IF(B64=0,"",(C64-B64)/B64)</f>
        <v/>
      </c>
      <c r="F64" s="3" t="n">
        <v>0</v>
      </c>
    </row>
    <row r="65">
      <c r="A65" s="2" t="n">
        <v>64</v>
      </c>
      <c r="B65" s="3" t="n">
        <v>185</v>
      </c>
      <c r="C65" s="3" t="n">
        <v>182</v>
      </c>
      <c r="D65" s="3">
        <f>C65-B65</f>
        <v/>
      </c>
      <c r="E65" s="4">
        <f>IF(B65=0,"",(C65-B65)/B65)</f>
        <v/>
      </c>
      <c r="F65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5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  <col width="17" customWidth="1" min="28" max="28"/>
    <col width="17" customWidth="1" min="29" max="29"/>
    <col width="17" customWidth="1" min="30" max="30"/>
    <col width="17" customWidth="1" min="31" max="31"/>
    <col width="17" customWidth="1" min="32" max="32"/>
    <col width="17" customWidth="1" min="33" max="33"/>
  </cols>
  <sheetData>
    <row r="1">
      <c r="A1" s="5" t="inlineStr">
        <is>
          <t>STAGE 4 — PEDIGREE-CONDITIONED REACTIVITY: every moved player (6c9f8d3a -&gt; b490ae8b)</t>
        </is>
      </c>
    </row>
    <row r="2">
      <c r="A2" s="6" t="inlineStr">
        <is>
          <t>Verbatim from docs/evidence/act_334B_2026-08-07/stage4/movers_full.csv. No cap.</t>
        </is>
      </c>
    </row>
    <row r="4">
      <c r="A4" s="1" t="inlineStr">
        <is>
          <t>key</t>
        </is>
      </c>
      <c r="B4" s="1" t="inlineStr">
        <is>
          <t>player</t>
        </is>
      </c>
      <c r="C4" s="1" t="inlineStr">
        <is>
          <t>pos</t>
        </is>
      </c>
      <c r="D4" s="1" t="inlineStr">
        <is>
          <t>entry</t>
        </is>
      </c>
      <c r="E4" s="1" t="inlineStr">
        <is>
          <t>effpk</t>
        </is>
      </c>
      <c r="F4" s="1" t="inlineStr">
        <is>
          <t>draft_year</t>
        </is>
      </c>
      <c r="G4" s="1" t="inlineStr">
        <is>
          <t>pathway</t>
        </is>
      </c>
      <c r="H4" s="1" t="inlineStr">
        <is>
          <t>pool</t>
        </is>
      </c>
      <c r="I4" s="1" t="inlineStr">
        <is>
          <t>old</t>
        </is>
      </c>
      <c r="J4" s="1" t="inlineStr">
        <is>
          <t>new</t>
        </is>
      </c>
      <c r="K4" s="1" t="inlineStr">
        <is>
          <t>abs</t>
        </is>
      </c>
      <c r="L4" s="1" t="inlineStr">
        <is>
          <t>rel</t>
        </is>
      </c>
      <c r="M4" s="1" t="inlineStr">
        <is>
          <t>ev_this_build</t>
        </is>
      </c>
      <c r="N4" s="1" t="inlineStr">
        <is>
          <t>career_by_season</t>
        </is>
      </c>
      <c r="O4" s="1" t="inlineStr">
        <is>
          <t>career_games</t>
        </is>
      </c>
      <c r="P4" s="1" t="inlineStr">
        <is>
          <t>best_season_games</t>
        </is>
      </c>
      <c r="Q4" s="1" t="inlineStr">
        <is>
          <t>best_season_avg</t>
        </is>
      </c>
      <c r="R4" s="1" t="inlineStr">
        <is>
          <t>route_debut_year</t>
        </is>
      </c>
      <c r="S4" s="1" t="inlineStr">
        <is>
          <t>first_played_year</t>
        </is>
      </c>
      <c r="T4" s="1" t="inlineStr">
        <is>
          <t>sitout_years_n</t>
        </is>
      </c>
      <c r="U4" s="1" t="inlineStr">
        <is>
          <t>sitout_years</t>
        </is>
      </c>
      <c r="V4" s="1" t="inlineStr">
        <is>
          <t>lead_sitout_years</t>
        </is>
      </c>
      <c r="W4" s="1" t="inlineStr">
        <is>
          <t>draft_day_anchor</t>
        </is>
      </c>
      <c r="X4" s="1" t="inlineStr">
        <is>
          <t>retention_R</t>
        </is>
      </c>
      <c r="Y4" s="1" t="inlineStr">
        <is>
          <t>games_2026</t>
        </is>
      </c>
      <c r="Z4" s="1" t="inlineStr">
        <is>
          <t>games_at_pace</t>
        </is>
      </c>
      <c r="AA4" s="1" t="inlineStr">
        <is>
          <t>lam_before</t>
        </is>
      </c>
      <c r="AB4" s="1" t="inlineStr">
        <is>
          <t>lam_after</t>
        </is>
      </c>
      <c r="AC4" s="1" t="inlineStr">
        <is>
          <t>ped</t>
        </is>
      </c>
      <c r="AD4" s="1" t="inlineStr">
        <is>
          <t>sit</t>
        </is>
      </c>
      <c r="AE4" s="1" t="inlineStr">
        <is>
          <t>q</t>
        </is>
      </c>
      <c r="AF4" s="1" t="inlineStr">
        <is>
          <t>exponent</t>
        </is>
      </c>
      <c r="AG4" s="1" t="inlineStr">
        <is>
          <t>on_sitout_path</t>
        </is>
      </c>
    </row>
    <row r="5">
      <c r="A5" s="2" t="inlineStr">
        <is>
          <t>mitch-podhajski</t>
        </is>
      </c>
      <c r="B5" s="2" t="inlineStr">
        <is>
          <t>Mitch Podhajski</t>
        </is>
      </c>
      <c r="C5" s="2" t="inlineStr">
        <is>
          <t>KPF</t>
        </is>
      </c>
      <c r="D5" s="2" t="inlineStr">
        <is>
          <t>MSD (pool, effpk 65)</t>
        </is>
      </c>
      <c r="E5" s="2" t="n">
        <v>65</v>
      </c>
      <c r="F5" s="2" t="n">
        <v>2026</v>
      </c>
      <c r="G5" s="2" t="inlineStr">
        <is>
          <t>MSD</t>
        </is>
      </c>
      <c r="H5" s="2" t="inlineStr">
        <is>
          <t>True</t>
        </is>
      </c>
      <c r="I5" s="2" t="n">
        <v>107</v>
      </c>
      <c r="J5" s="2" t="n">
        <v>132</v>
      </c>
      <c r="K5" s="2" t="n">
        <v>25</v>
      </c>
      <c r="L5" s="2" t="n">
        <v>0.2336448598130841</v>
      </c>
      <c r="M5" s="2" t="n">
        <v>139</v>
      </c>
      <c r="N5" s="2" t="inlineStr">
        <is>
          <t>2026:2g@48.5</t>
        </is>
      </c>
      <c r="O5" s="2" t="n">
        <v>2</v>
      </c>
      <c r="P5" s="2" t="n">
        <v>2</v>
      </c>
      <c r="Q5" s="2" t="n">
        <v>48.5</v>
      </c>
      <c r="R5" s="2" t="n">
        <v>2026</v>
      </c>
      <c r="S5" s="2" t="n">
        <v>2026</v>
      </c>
      <c r="T5" s="2" t="n">
        <v>0</v>
      </c>
      <c r="U5" s="2" t="inlineStr">
        <is>
          <t>-</t>
        </is>
      </c>
      <c r="V5" s="2" t="n">
        <v>0</v>
      </c>
      <c r="W5" s="2" t="n">
        <v>300.99</v>
      </c>
      <c r="X5" s="2" t="n">
        <v>0.70447</v>
      </c>
      <c r="Y5" s="2" t="n">
        <v>2</v>
      </c>
      <c r="Z5" s="2" t="n">
        <v>2.2727</v>
      </c>
      <c r="AA5" s="2" t="n">
        <v>0.507727</v>
      </c>
      <c r="AB5" s="2" t="n">
        <v>0.370758</v>
      </c>
      <c r="AC5" s="2" t="n">
        <v>0.07231899999999999</v>
      </c>
      <c r="AD5" s="2" t="n">
        <v>1</v>
      </c>
      <c r="AE5" s="2" t="n">
        <v>0.07231899999999999</v>
      </c>
      <c r="AF5" s="2" t="n">
        <v>1.46384</v>
      </c>
      <c r="AG5" s="2" t="inlineStr">
        <is>
          <t>True</t>
        </is>
      </c>
    </row>
    <row r="6">
      <c r="A6" s="2" t="inlineStr">
        <is>
          <t>george-stevens</t>
        </is>
      </c>
      <c r="B6" s="2" t="inlineStr">
        <is>
          <t>George Stevens</t>
        </is>
      </c>
      <c r="C6" s="2" t="inlineStr">
        <is>
          <t>MID</t>
        </is>
      </c>
      <c r="D6" s="2" t="inlineStr">
        <is>
          <t>ND pick 58</t>
        </is>
      </c>
      <c r="E6" s="2" t="n">
        <v>58</v>
      </c>
      <c r="F6" s="2" t="n">
        <v>2023</v>
      </c>
      <c r="G6" s="2" t="inlineStr">
        <is>
          <t>ND</t>
        </is>
      </c>
      <c r="H6" s="2" t="inlineStr">
        <is>
          <t>False</t>
        </is>
      </c>
      <c r="I6" s="2" t="n">
        <v>265</v>
      </c>
      <c r="J6" s="2" t="n">
        <v>219</v>
      </c>
      <c r="K6" s="2" t="n">
        <v>-46</v>
      </c>
      <c r="L6" s="2" t="n">
        <v>-0.1735849056603773</v>
      </c>
      <c r="M6" s="2" t="n">
        <v>231</v>
      </c>
      <c r="N6" s="2" t="inlineStr">
        <is>
          <t>2025:2g@62.0; 2026:2g@62.0</t>
        </is>
      </c>
      <c r="O6" s="2" t="n">
        <v>4</v>
      </c>
      <c r="P6" s="2" t="n">
        <v>2</v>
      </c>
      <c r="Q6" s="2" t="n">
        <v>62</v>
      </c>
      <c r="R6" s="2" t="n">
        <v>2024</v>
      </c>
      <c r="S6" s="2" t="n">
        <v>2025</v>
      </c>
      <c r="T6" s="2" t="n">
        <v>1</v>
      </c>
      <c r="U6" s="2" t="n">
        <v>2024</v>
      </c>
      <c r="V6" s="2" t="n">
        <v>1</v>
      </c>
      <c r="W6" s="2" t="n">
        <v>297.26</v>
      </c>
      <c r="X6" s="2" t="n">
        <v>0.3525</v>
      </c>
      <c r="Y6" s="2" t="n">
        <v>2</v>
      </c>
      <c r="Z6" s="2" t="n">
        <v>2.2727</v>
      </c>
      <c r="AA6" s="2" t="n">
        <v>0.507727</v>
      </c>
      <c r="AB6" s="2" t="n">
        <v>0.368567</v>
      </c>
      <c r="AC6" s="2" t="n">
        <v>0.09764100000000001</v>
      </c>
      <c r="AD6" s="2" t="n">
        <v>0.561584</v>
      </c>
      <c r="AE6" s="2" t="n">
        <v>0.054834</v>
      </c>
      <c r="AF6" s="2" t="n">
        <v>1.472583</v>
      </c>
      <c r="AG6" s="2" t="inlineStr">
        <is>
          <t>True</t>
        </is>
      </c>
    </row>
    <row r="7">
      <c r="A7" s="2" t="inlineStr">
        <is>
          <t>zane-zakostelsky</t>
        </is>
      </c>
      <c r="B7" s="2" t="inlineStr">
        <is>
          <t>Zane Zakostelsky</t>
        </is>
      </c>
      <c r="C7" s="2" t="inlineStr">
        <is>
          <t>KPD</t>
        </is>
      </c>
      <c r="D7" s="2" t="inlineStr">
        <is>
          <t>ND pick 51</t>
        </is>
      </c>
      <c r="E7" s="2" t="n">
        <v>51</v>
      </c>
      <c r="F7" s="2" t="n">
        <v>2023</v>
      </c>
      <c r="G7" s="2" t="inlineStr">
        <is>
          <t>ND</t>
        </is>
      </c>
      <c r="H7" s="2" t="inlineStr">
        <is>
          <t>False</t>
        </is>
      </c>
      <c r="I7" s="2" t="n">
        <v>330</v>
      </c>
      <c r="J7" s="2" t="n">
        <v>275</v>
      </c>
      <c r="K7" s="2" t="n">
        <v>-55</v>
      </c>
      <c r="L7" s="2" t="n">
        <v>-0.1666666666666667</v>
      </c>
      <c r="M7" s="2" t="n">
        <v>289</v>
      </c>
      <c r="N7" s="2" t="inlineStr">
        <is>
          <t>2026:3g@49.0</t>
        </is>
      </c>
      <c r="O7" s="2" t="n">
        <v>3</v>
      </c>
      <c r="P7" s="2" t="n">
        <v>3</v>
      </c>
      <c r="Q7" s="2" t="n">
        <v>49</v>
      </c>
      <c r="R7" s="2" t="n">
        <v>2024</v>
      </c>
      <c r="S7" s="2" t="n">
        <v>2026</v>
      </c>
      <c r="T7" s="2" t="n">
        <v>2</v>
      </c>
      <c r="U7" s="2" t="inlineStr">
        <is>
          <t>2024,2025</t>
        </is>
      </c>
      <c r="V7" s="2" t="n">
        <v>2</v>
      </c>
      <c r="W7" s="2" t="n">
        <v>302.98</v>
      </c>
      <c r="X7" s="2" t="n">
        <v>0.36077</v>
      </c>
      <c r="Y7" s="2" t="n">
        <v>3</v>
      </c>
      <c r="Z7" s="2" t="n">
        <v>3.4091</v>
      </c>
      <c r="AA7" s="2" t="n">
        <v>0.547</v>
      </c>
      <c r="AB7" s="2" t="n">
        <v>0.412524</v>
      </c>
      <c r="AC7" s="2" t="n">
        <v>0.126224</v>
      </c>
      <c r="AD7" s="2" t="n">
        <v>0.51212</v>
      </c>
      <c r="AE7" s="2" t="n">
        <v>0.06464200000000001</v>
      </c>
      <c r="AF7" s="2" t="n">
        <v>1.467679</v>
      </c>
      <c r="AG7" s="2" t="inlineStr">
        <is>
          <t>True</t>
        </is>
      </c>
    </row>
    <row r="8">
      <c r="A8" s="2" t="inlineStr">
        <is>
          <t>archie-ludowyke</t>
        </is>
      </c>
      <c r="B8" s="2" t="inlineStr">
        <is>
          <t>Archie Ludowyke</t>
        </is>
      </c>
      <c r="C8" s="2" t="inlineStr">
        <is>
          <t>KPF</t>
        </is>
      </c>
      <c r="D8" s="2" t="inlineStr">
        <is>
          <t>ND pick 50</t>
        </is>
      </c>
      <c r="E8" s="2" t="n">
        <v>50</v>
      </c>
      <c r="F8" s="2" t="n">
        <v>2025</v>
      </c>
      <c r="G8" s="2" t="inlineStr">
        <is>
          <t>ND</t>
        </is>
      </c>
      <c r="H8" s="2" t="inlineStr">
        <is>
          <t>False</t>
        </is>
      </c>
      <c r="I8" s="2" t="n">
        <v>219</v>
      </c>
      <c r="J8" s="2" t="n">
        <v>185</v>
      </c>
      <c r="K8" s="2" t="n">
        <v>-34</v>
      </c>
      <c r="L8" s="2" t="n">
        <v>-0.1552511415525114</v>
      </c>
      <c r="M8" s="2" t="n">
        <v>195</v>
      </c>
      <c r="N8" s="2" t="inlineStr">
        <is>
          <t>2026:1g@57.0</t>
        </is>
      </c>
      <c r="O8" s="2" t="n">
        <v>1</v>
      </c>
      <c r="P8" s="2" t="n">
        <v>1</v>
      </c>
      <c r="Q8" s="2" t="n">
        <v>57</v>
      </c>
      <c r="R8" s="2" t="n">
        <v>2026</v>
      </c>
      <c r="S8" s="2" t="n">
        <v>2026</v>
      </c>
      <c r="T8" s="2" t="n">
        <v>0</v>
      </c>
      <c r="U8" s="2" t="inlineStr">
        <is>
          <t>-</t>
        </is>
      </c>
      <c r="V8" s="2" t="n">
        <v>0</v>
      </c>
      <c r="W8" s="2" t="n">
        <v>225.67</v>
      </c>
      <c r="X8" s="2" t="n">
        <v>0.70447</v>
      </c>
      <c r="Y8" s="2" t="n">
        <v>1</v>
      </c>
      <c r="Z8" s="2" t="n">
        <v>1.1364</v>
      </c>
      <c r="AA8" s="2" t="n">
        <v>0.205409</v>
      </c>
      <c r="AB8" s="2" t="n">
        <v>0.103234</v>
      </c>
      <c r="AC8" s="2" t="n">
        <v>0.130625</v>
      </c>
      <c r="AD8" s="2" t="n">
        <v>1</v>
      </c>
      <c r="AE8" s="2" t="n">
        <v>0.130625</v>
      </c>
      <c r="AF8" s="2" t="n">
        <v>1.434688</v>
      </c>
      <c r="AG8" s="2" t="inlineStr">
        <is>
          <t>True</t>
        </is>
      </c>
    </row>
    <row r="9">
      <c r="A9" s="2" t="inlineStr">
        <is>
          <t>luker-kentfield</t>
        </is>
      </c>
      <c r="B9" s="2" t="inlineStr">
        <is>
          <t>Luker Kentfield</t>
        </is>
      </c>
      <c r="C9" s="2" t="inlineStr">
        <is>
          <t>KPF</t>
        </is>
      </c>
      <c r="D9" s="2" t="inlineStr">
        <is>
          <t>MSD (pool, effpk 65)</t>
        </is>
      </c>
      <c r="E9" s="2" t="n">
        <v>65</v>
      </c>
      <c r="F9" s="2" t="n">
        <v>2024</v>
      </c>
      <c r="G9" s="2" t="inlineStr">
        <is>
          <t>MSD</t>
        </is>
      </c>
      <c r="H9" s="2" t="inlineStr">
        <is>
          <t>True</t>
        </is>
      </c>
      <c r="I9" s="2" t="n">
        <v>234</v>
      </c>
      <c r="J9" s="2" t="n">
        <v>200</v>
      </c>
      <c r="K9" s="2" t="n">
        <v>-34</v>
      </c>
      <c r="L9" s="2" t="n">
        <v>-0.1452991452991453</v>
      </c>
      <c r="M9" s="2" t="n">
        <v>211</v>
      </c>
      <c r="N9" s="2" t="inlineStr">
        <is>
          <t>2026:3g@32.3</t>
        </is>
      </c>
      <c r="O9" s="2" t="n">
        <v>3</v>
      </c>
      <c r="P9" s="2" t="n">
        <v>3</v>
      </c>
      <c r="Q9" s="2" t="n">
        <v>32.33</v>
      </c>
      <c r="R9" s="2" t="n">
        <v>2024</v>
      </c>
      <c r="S9" s="2" t="n">
        <v>2026</v>
      </c>
      <c r="T9" s="2" t="n">
        <v>2</v>
      </c>
      <c r="U9" s="2" t="inlineStr">
        <is>
          <t>2024,2025</t>
        </is>
      </c>
      <c r="V9" s="2" t="n">
        <v>2</v>
      </c>
      <c r="W9" s="2" t="n">
        <v>300.99</v>
      </c>
      <c r="X9" s="2" t="n">
        <v>0.36077</v>
      </c>
      <c r="Y9" s="2" t="n">
        <v>3</v>
      </c>
      <c r="Z9" s="2" t="n">
        <v>3.4091</v>
      </c>
      <c r="AA9" s="2" t="n">
        <v>0.547</v>
      </c>
      <c r="AB9" s="2" t="n">
        <v>0.409103</v>
      </c>
      <c r="AC9" s="2" t="n">
        <v>0.07231899999999999</v>
      </c>
      <c r="AD9" s="2" t="n">
        <v>0.51212</v>
      </c>
      <c r="AE9" s="2" t="n">
        <v>0.037036</v>
      </c>
      <c r="AF9" s="2" t="n">
        <v>1.481482</v>
      </c>
      <c r="AG9" s="2" t="inlineStr">
        <is>
          <t>True</t>
        </is>
      </c>
    </row>
    <row r="10">
      <c r="A10" s="2" t="inlineStr">
        <is>
          <t>noah-mraz</t>
        </is>
      </c>
      <c r="B10" s="2" t="inlineStr">
        <is>
          <t>Noah Mraz</t>
        </is>
      </c>
      <c r="C10" s="2" t="inlineStr">
        <is>
          <t>KPD</t>
        </is>
      </c>
      <c r="D10" s="2" t="inlineStr">
        <is>
          <t>ND pick 35</t>
        </is>
      </c>
      <c r="E10" s="2" t="n">
        <v>35</v>
      </c>
      <c r="F10" s="2" t="n">
        <v>2024</v>
      </c>
      <c r="G10" s="2" t="inlineStr">
        <is>
          <t>ND</t>
        </is>
      </c>
      <c r="H10" s="2" t="inlineStr">
        <is>
          <t>False</t>
        </is>
      </c>
      <c r="I10" s="2" t="n">
        <v>3358</v>
      </c>
      <c r="J10" s="2" t="n">
        <v>2898</v>
      </c>
      <c r="K10" s="2" t="n">
        <v>-460</v>
      </c>
      <c r="L10" s="2" t="n">
        <v>-0.136986301369863</v>
      </c>
      <c r="M10" s="2" t="n">
        <v>3050</v>
      </c>
      <c r="N10" s="2" t="inlineStr">
        <is>
          <t>2026:4g@84.2</t>
        </is>
      </c>
      <c r="O10" s="2" t="n">
        <v>4</v>
      </c>
      <c r="P10" s="2" t="n">
        <v>4</v>
      </c>
      <c r="Q10" s="2" t="n">
        <v>84.25</v>
      </c>
      <c r="R10" s="2" t="n">
        <v>2025</v>
      </c>
      <c r="S10" s="2" t="n">
        <v>2026</v>
      </c>
      <c r="T10" s="2" t="n">
        <v>1</v>
      </c>
      <c r="U10" s="2" t="n">
        <v>2025</v>
      </c>
      <c r="V10" s="2" t="n">
        <v>1</v>
      </c>
      <c r="W10" s="2" t="n">
        <v>461.25</v>
      </c>
      <c r="X10" s="2" t="n">
        <v>0.45877</v>
      </c>
      <c r="Y10" s="2" t="n">
        <v>4</v>
      </c>
      <c r="Z10" s="2" t="n">
        <v>4.5455</v>
      </c>
      <c r="AA10" s="2" t="n">
        <v>0.693727</v>
      </c>
      <c r="AB10" s="2" t="n">
        <v>0.592552</v>
      </c>
      <c r="AC10" s="2" t="n">
        <v>0.209889</v>
      </c>
      <c r="AD10" s="2" t="n">
        <v>0.656601</v>
      </c>
      <c r="AE10" s="2" t="n">
        <v>0.137813</v>
      </c>
      <c r="AF10" s="2" t="n">
        <v>1.431093</v>
      </c>
      <c r="AG10" s="2" t="inlineStr">
        <is>
          <t>True</t>
        </is>
      </c>
    </row>
    <row r="11">
      <c r="A11" s="2" t="inlineStr">
        <is>
          <t>rhys-unwin</t>
        </is>
      </c>
      <c r="B11" s="2" t="inlineStr">
        <is>
          <t>Rhys Unwin</t>
        </is>
      </c>
      <c r="C11" s="2" t="inlineStr">
        <is>
          <t>SF</t>
        </is>
      </c>
      <c r="D11" s="2" t="inlineStr">
        <is>
          <t>ND pick 61</t>
        </is>
      </c>
      <c r="E11" s="2" t="n">
        <v>61</v>
      </c>
      <c r="F11" s="2" t="n">
        <v>2024</v>
      </c>
      <c r="G11" s="2" t="inlineStr">
        <is>
          <t>ND</t>
        </is>
      </c>
      <c r="H11" s="2" t="inlineStr">
        <is>
          <t>False</t>
        </is>
      </c>
      <c r="I11" s="2" t="n">
        <v>92</v>
      </c>
      <c r="J11" s="2" t="n">
        <v>80</v>
      </c>
      <c r="K11" s="2" t="n">
        <v>-12</v>
      </c>
      <c r="L11" s="2" t="n">
        <v>-0.1304347826086956</v>
      </c>
      <c r="M11" s="2" t="n">
        <v>84</v>
      </c>
      <c r="N11" s="2" t="inlineStr">
        <is>
          <t>2025:3g@22.0; 2026:1g@37.0</t>
        </is>
      </c>
      <c r="O11" s="2" t="n">
        <v>4</v>
      </c>
      <c r="P11" s="2" t="n">
        <v>3</v>
      </c>
      <c r="Q11" s="2" t="n">
        <v>37</v>
      </c>
      <c r="R11" s="2" t="n">
        <v>2025</v>
      </c>
      <c r="S11" s="2" t="n">
        <v>2025</v>
      </c>
      <c r="T11" s="2" t="n">
        <v>0</v>
      </c>
      <c r="U11" s="2" t="inlineStr">
        <is>
          <t>-</t>
        </is>
      </c>
      <c r="V11" s="2" t="n">
        <v>0</v>
      </c>
      <c r="W11" s="2" t="n">
        <v>175.1</v>
      </c>
      <c r="X11" s="2" t="n">
        <v>0.41609</v>
      </c>
      <c r="Y11" s="2" t="n">
        <v>1</v>
      </c>
      <c r="Z11" s="2" t="n">
        <v>1.1364</v>
      </c>
      <c r="AA11" s="2" t="n">
        <v>0.205409</v>
      </c>
      <c r="AB11" s="2" t="n">
        <v>0.097414</v>
      </c>
      <c r="AC11" s="2" t="n">
        <v>0.086434</v>
      </c>
      <c r="AD11" s="2" t="n">
        <v>0.662891</v>
      </c>
      <c r="AE11" s="2" t="n">
        <v>0.057296</v>
      </c>
      <c r="AF11" s="2" t="n">
        <v>1.471352</v>
      </c>
      <c r="AG11" s="2" t="inlineStr">
        <is>
          <t>True</t>
        </is>
      </c>
    </row>
    <row r="12">
      <c r="A12" s="2" t="inlineStr">
        <is>
          <t>thomas-anastasopoulos</t>
        </is>
      </c>
      <c r="B12" s="2" t="inlineStr">
        <is>
          <t>Tom Anastasopoulos</t>
        </is>
      </c>
      <c r="C12" s="2" t="inlineStr">
        <is>
          <t>SF</t>
        </is>
      </c>
      <c r="D12" s="2" t="inlineStr">
        <is>
          <t>ND pick 48</t>
        </is>
      </c>
      <c r="E12" s="2" t="n">
        <v>48</v>
      </c>
      <c r="F12" s="2" t="n">
        <v>2023</v>
      </c>
      <c r="G12" s="2" t="inlineStr">
        <is>
          <t>ND</t>
        </is>
      </c>
      <c r="H12" s="2" t="inlineStr">
        <is>
          <t>False</t>
        </is>
      </c>
      <c r="I12" s="2" t="n">
        <v>184</v>
      </c>
      <c r="J12" s="2" t="n">
        <v>160</v>
      </c>
      <c r="K12" s="2" t="n">
        <v>-24</v>
      </c>
      <c r="L12" s="2" t="n">
        <v>-0.1304347826086956</v>
      </c>
      <c r="M12" s="2" t="n">
        <v>168</v>
      </c>
      <c r="N12" s="2" t="inlineStr">
        <is>
          <t>2026:2g@40.5</t>
        </is>
      </c>
      <c r="O12" s="2" t="n">
        <v>2</v>
      </c>
      <c r="P12" s="2" t="n">
        <v>2</v>
      </c>
      <c r="Q12" s="2" t="n">
        <v>40.5</v>
      </c>
      <c r="R12" s="2" t="n">
        <v>2024</v>
      </c>
      <c r="S12" s="2" t="n">
        <v>2026</v>
      </c>
      <c r="T12" s="2" t="n">
        <v>2</v>
      </c>
      <c r="U12" s="2" t="inlineStr">
        <is>
          <t>2024,2025</t>
        </is>
      </c>
      <c r="V12" s="2" t="n">
        <v>2</v>
      </c>
      <c r="W12" s="2" t="n">
        <v>271.26</v>
      </c>
      <c r="X12" s="2" t="n">
        <v>0.35825</v>
      </c>
      <c r="Y12" s="2" t="n">
        <v>2</v>
      </c>
      <c r="Z12" s="2" t="n">
        <v>2.2727</v>
      </c>
      <c r="AA12" s="2" t="n">
        <v>0.507727</v>
      </c>
      <c r="AB12" s="2" t="n">
        <v>0.371586</v>
      </c>
      <c r="AC12" s="2" t="n">
        <v>0.139697</v>
      </c>
      <c r="AD12" s="2" t="n">
        <v>0.5648069999999999</v>
      </c>
      <c r="AE12" s="2" t="n">
        <v>0.078902</v>
      </c>
      <c r="AF12" s="2" t="n">
        <v>1.460549</v>
      </c>
      <c r="AG12" s="2" t="inlineStr">
        <is>
          <t>True</t>
        </is>
      </c>
    </row>
    <row r="13">
      <c r="A13" s="2" t="inlineStr">
        <is>
          <t>lukas-cooke</t>
        </is>
      </c>
      <c r="B13" s="2" t="inlineStr">
        <is>
          <t>Lukas Cooke</t>
        </is>
      </c>
      <c r="C13" s="2" t="inlineStr">
        <is>
          <t>KPD</t>
        </is>
      </c>
      <c r="D13" s="2" t="inlineStr">
        <is>
          <t>MSD (pool, effpk 65)</t>
        </is>
      </c>
      <c r="E13" s="2" t="n">
        <v>65</v>
      </c>
      <c r="F13" s="2" t="n">
        <v>2026</v>
      </c>
      <c r="G13" s="2" t="inlineStr">
        <is>
          <t>MSD</t>
        </is>
      </c>
      <c r="H13" s="2" t="inlineStr">
        <is>
          <t>True</t>
        </is>
      </c>
      <c r="I13" s="2" t="n">
        <v>136</v>
      </c>
      <c r="J13" s="2" t="n">
        <v>153</v>
      </c>
      <c r="K13" s="2" t="n">
        <v>17</v>
      </c>
      <c r="L13" s="2" t="n">
        <v>0.125</v>
      </c>
      <c r="M13" s="2" t="n">
        <v>161</v>
      </c>
      <c r="N13" s="2" t="inlineStr">
        <is>
          <t>2026:2g@43.5</t>
        </is>
      </c>
      <c r="O13" s="2" t="n">
        <v>2</v>
      </c>
      <c r="P13" s="2" t="n">
        <v>2</v>
      </c>
      <c r="Q13" s="2" t="n">
        <v>43.5</v>
      </c>
      <c r="R13" s="2" t="n">
        <v>2026</v>
      </c>
      <c r="S13" s="2" t="n">
        <v>2026</v>
      </c>
      <c r="T13" s="2" t="n">
        <v>0</v>
      </c>
      <c r="U13" s="2" t="inlineStr">
        <is>
          <t>-</t>
        </is>
      </c>
      <c r="V13" s="2" t="n">
        <v>0</v>
      </c>
      <c r="W13" s="2" t="n">
        <v>300.99</v>
      </c>
      <c r="X13" s="2" t="n">
        <v>0.70447</v>
      </c>
      <c r="Y13" s="2" t="n">
        <v>2</v>
      </c>
      <c r="Z13" s="2" t="n">
        <v>2.2727</v>
      </c>
      <c r="AA13" s="2" t="n">
        <v>0.507727</v>
      </c>
      <c r="AB13" s="2" t="n">
        <v>0.370758</v>
      </c>
      <c r="AC13" s="2" t="n">
        <v>0.07231899999999999</v>
      </c>
      <c r="AD13" s="2" t="n">
        <v>1</v>
      </c>
      <c r="AE13" s="2" t="n">
        <v>0.07231899999999999</v>
      </c>
      <c r="AF13" s="2" t="n">
        <v>1.46384</v>
      </c>
      <c r="AG13" s="2" t="inlineStr">
        <is>
          <t>True</t>
        </is>
      </c>
    </row>
    <row r="14">
      <c r="A14" s="2" t="inlineStr">
        <is>
          <t>harrison-ramm</t>
        </is>
      </c>
      <c r="B14" s="2" t="inlineStr">
        <is>
          <t>Harrison Ramm</t>
        </is>
      </c>
      <c r="C14" s="2" t="inlineStr">
        <is>
          <t>KPD</t>
        </is>
      </c>
      <c r="D14" s="2" t="inlineStr">
        <is>
          <t>MSD (pool, effpk 65)</t>
        </is>
      </c>
      <c r="E14" s="2" t="n">
        <v>65</v>
      </c>
      <c r="F14" s="2" t="n">
        <v>2025</v>
      </c>
      <c r="G14" s="2" t="inlineStr">
        <is>
          <t>MSD</t>
        </is>
      </c>
      <c r="H14" s="2" t="inlineStr">
        <is>
          <t>True</t>
        </is>
      </c>
      <c r="I14" s="2" t="n">
        <v>252</v>
      </c>
      <c r="J14" s="2" t="n">
        <v>221</v>
      </c>
      <c r="K14" s="2" t="n">
        <v>-31</v>
      </c>
      <c r="L14" s="2" t="n">
        <v>-0.123015873015873</v>
      </c>
      <c r="M14" s="2" t="n">
        <v>233</v>
      </c>
      <c r="N14" s="2" t="inlineStr">
        <is>
          <t>2025:1g@28.0; 2026:3g@23.7</t>
        </is>
      </c>
      <c r="O14" s="2" t="n">
        <v>4</v>
      </c>
      <c r="P14" s="2" t="n">
        <v>3</v>
      </c>
      <c r="Q14" s="2" t="n">
        <v>28</v>
      </c>
      <c r="R14" s="2" t="n">
        <v>2025</v>
      </c>
      <c r="S14" s="2" t="n">
        <v>2025</v>
      </c>
      <c r="T14" s="2" t="n">
        <v>0</v>
      </c>
      <c r="U14" s="2" t="inlineStr">
        <is>
          <t>-</t>
        </is>
      </c>
      <c r="V14" s="2" t="n">
        <v>0</v>
      </c>
      <c r="W14" s="2" t="n">
        <v>300.99</v>
      </c>
      <c r="X14" s="2" t="n">
        <v>0.448</v>
      </c>
      <c r="Y14" s="2" t="n">
        <v>3</v>
      </c>
      <c r="Z14" s="2" t="n">
        <v>3.4091</v>
      </c>
      <c r="AA14" s="2" t="n">
        <v>0.547</v>
      </c>
      <c r="AB14" s="2" t="n">
        <v>0.41021</v>
      </c>
      <c r="AC14" s="2" t="n">
        <v>0.07231899999999999</v>
      </c>
      <c r="AD14" s="2" t="n">
        <v>0.635949</v>
      </c>
      <c r="AE14" s="2" t="n">
        <v>0.045991</v>
      </c>
      <c r="AF14" s="2" t="n">
        <v>1.477004</v>
      </c>
      <c r="AG14" s="2" t="inlineStr">
        <is>
          <t>True</t>
        </is>
      </c>
    </row>
    <row r="15">
      <c r="A15" s="2" t="inlineStr">
        <is>
          <t>lachlan-smith</t>
        </is>
      </c>
      <c r="B15" s="2" t="inlineStr">
        <is>
          <t>Lachlan Smith</t>
        </is>
      </c>
      <c r="C15" s="2" t="inlineStr">
        <is>
          <t>RUCK</t>
        </is>
      </c>
      <c r="D15" s="2" t="inlineStr">
        <is>
          <t>ND pick 47</t>
        </is>
      </c>
      <c r="E15" s="2" t="n">
        <v>47</v>
      </c>
      <c r="F15" s="2" t="n">
        <v>2023</v>
      </c>
      <c r="G15" s="2" t="inlineStr">
        <is>
          <t>ND</t>
        </is>
      </c>
      <c r="H15" s="2" t="inlineStr">
        <is>
          <t>False</t>
        </is>
      </c>
      <c r="I15" s="2" t="n">
        <v>520</v>
      </c>
      <c r="J15" s="2" t="n">
        <v>459</v>
      </c>
      <c r="K15" s="2" t="n">
        <v>-61</v>
      </c>
      <c r="L15" s="2" t="n">
        <v>-0.1173076923076923</v>
      </c>
      <c r="M15" s="2" t="n">
        <v>483</v>
      </c>
      <c r="N15" s="2" t="inlineStr">
        <is>
          <t>2026:2g@53.0</t>
        </is>
      </c>
      <c r="O15" s="2" t="n">
        <v>2</v>
      </c>
      <c r="P15" s="2" t="n">
        <v>2</v>
      </c>
      <c r="Q15" s="2" t="n">
        <v>53</v>
      </c>
      <c r="R15" s="2" t="n">
        <v>2024</v>
      </c>
      <c r="S15" s="2" t="n">
        <v>2026</v>
      </c>
      <c r="T15" s="2" t="n">
        <v>2</v>
      </c>
      <c r="U15" s="2" t="inlineStr">
        <is>
          <t>2024,2025</t>
        </is>
      </c>
      <c r="V15" s="2" t="n">
        <v>2</v>
      </c>
      <c r="W15" s="2" t="n">
        <v>513.58</v>
      </c>
      <c r="X15" s="2" t="n">
        <v>0.59666</v>
      </c>
      <c r="Y15" s="2" t="n">
        <v>2</v>
      </c>
      <c r="Z15" s="2" t="n">
        <v>2.2727</v>
      </c>
      <c r="AA15" s="2" t="n">
        <v>0.507727</v>
      </c>
      <c r="AB15" s="2" t="n">
        <v>0.374827</v>
      </c>
      <c r="AC15" s="2" t="n">
        <v>0.144375</v>
      </c>
      <c r="AD15" s="2" t="n">
        <v>0.724009</v>
      </c>
      <c r="AE15" s="2" t="n">
        <v>0.104529</v>
      </c>
      <c r="AF15" s="2" t="n">
        <v>1.447735</v>
      </c>
      <c r="AG15" s="2" t="inlineStr">
        <is>
          <t>True</t>
        </is>
      </c>
    </row>
    <row r="16">
      <c r="A16" s="2" t="inlineStr">
        <is>
          <t>hudson-o-keeffe</t>
        </is>
      </c>
      <c r="B16" s="2" t="inlineStr">
        <is>
          <t>Hudson O'Keeffe</t>
        </is>
      </c>
      <c r="C16" s="2" t="inlineStr">
        <is>
          <t>KPF</t>
        </is>
      </c>
      <c r="D16" s="2" t="inlineStr">
        <is>
          <t>SSP (pool, effpk 65)</t>
        </is>
      </c>
      <c r="E16" s="2" t="n">
        <v>65</v>
      </c>
      <c r="F16" s="2" t="n">
        <v>2022</v>
      </c>
      <c r="G16" s="2" t="inlineStr">
        <is>
          <t>SSP</t>
        </is>
      </c>
      <c r="H16" s="2" t="inlineStr">
        <is>
          <t>True</t>
        </is>
      </c>
      <c r="I16" s="2" t="n">
        <v>155</v>
      </c>
      <c r="J16" s="2" t="n">
        <v>137</v>
      </c>
      <c r="K16" s="2" t="n">
        <v>-18</v>
      </c>
      <c r="L16" s="2" t="n">
        <v>-0.1161290322580645</v>
      </c>
      <c r="M16" s="2" t="n">
        <v>144</v>
      </c>
      <c r="N16" s="2" t="inlineStr">
        <is>
          <t>2025:5g@48.8; 2026:3g@29.7</t>
        </is>
      </c>
      <c r="O16" s="2" t="n">
        <v>8</v>
      </c>
      <c r="P16" s="2" t="n">
        <v>5</v>
      </c>
      <c r="Q16" s="2" t="n">
        <v>48.8</v>
      </c>
      <c r="R16" s="2" t="n">
        <v>2023</v>
      </c>
      <c r="S16" s="2" t="n">
        <v>2025</v>
      </c>
      <c r="T16" s="2" t="n">
        <v>2</v>
      </c>
      <c r="U16" s="2" t="inlineStr">
        <is>
          <t>2023,2024</t>
        </is>
      </c>
      <c r="V16" s="2" t="n">
        <v>2</v>
      </c>
      <c r="W16" s="2" t="n">
        <v>265.2</v>
      </c>
      <c r="X16" s="2" t="n">
        <v>0.33697</v>
      </c>
      <c r="Y16" s="2" t="n">
        <v>3</v>
      </c>
      <c r="Z16" s="2" t="n">
        <v>3.4091</v>
      </c>
      <c r="AA16" s="2" t="n">
        <v>0.547</v>
      </c>
      <c r="AB16" s="2" t="n">
        <v>0.408802</v>
      </c>
      <c r="AC16" s="2" t="n">
        <v>0.07231899999999999</v>
      </c>
      <c r="AD16" s="2" t="n">
        <v>0.478328</v>
      </c>
      <c r="AE16" s="2" t="n">
        <v>0.034592</v>
      </c>
      <c r="AF16" s="2" t="n">
        <v>1.482704</v>
      </c>
      <c r="AG16" s="2" t="inlineStr">
        <is>
          <t>True</t>
        </is>
      </c>
    </row>
    <row r="17">
      <c r="A17" s="2" t="inlineStr">
        <is>
          <t>luke-kennedy</t>
        </is>
      </c>
      <c r="B17" s="2" t="inlineStr">
        <is>
          <t>Luke Kennedy</t>
        </is>
      </c>
      <c r="C17" s="2" t="inlineStr">
        <is>
          <t>MID</t>
        </is>
      </c>
      <c r="D17" s="2" t="inlineStr">
        <is>
          <t>ND pick 62</t>
        </is>
      </c>
      <c r="E17" s="2" t="n">
        <v>62</v>
      </c>
      <c r="F17" s="2" t="n">
        <v>2024</v>
      </c>
      <c r="G17" s="2" t="inlineStr">
        <is>
          <t>ND</t>
        </is>
      </c>
      <c r="H17" s="2" t="inlineStr">
        <is>
          <t>False</t>
        </is>
      </c>
      <c r="I17" s="2" t="n">
        <v>329</v>
      </c>
      <c r="J17" s="2" t="n">
        <v>293</v>
      </c>
      <c r="K17" s="2" t="n">
        <v>-36</v>
      </c>
      <c r="L17" s="2" t="n">
        <v>-0.1094224924012158</v>
      </c>
      <c r="M17" s="2" t="n">
        <v>308</v>
      </c>
      <c r="N17" s="2" t="inlineStr">
        <is>
          <t>2026:4g@37.2</t>
        </is>
      </c>
      <c r="O17" s="2" t="n">
        <v>4</v>
      </c>
      <c r="P17" s="2" t="n">
        <v>4</v>
      </c>
      <c r="Q17" s="2" t="n">
        <v>37.25</v>
      </c>
      <c r="R17" s="2" t="n">
        <v>2025</v>
      </c>
      <c r="S17" s="2" t="n">
        <v>2026</v>
      </c>
      <c r="T17" s="2" t="n">
        <v>1</v>
      </c>
      <c r="U17" s="2" t="n">
        <v>2025</v>
      </c>
      <c r="V17" s="2" t="n">
        <v>1</v>
      </c>
      <c r="W17" s="2" t="n">
        <v>252.57</v>
      </c>
      <c r="X17" s="2" t="n">
        <v>0.41609</v>
      </c>
      <c r="Y17" s="2" t="n">
        <v>4</v>
      </c>
      <c r="Z17" s="2" t="n">
        <v>4.5455</v>
      </c>
      <c r="AA17" s="2" t="n">
        <v>0.693727</v>
      </c>
      <c r="AB17" s="2" t="n">
        <v>0.583637</v>
      </c>
      <c r="AC17" s="2" t="n">
        <v>0.08282</v>
      </c>
      <c r="AD17" s="2" t="n">
        <v>0.662891</v>
      </c>
      <c r="AE17" s="2" t="n">
        <v>0.054901</v>
      </c>
      <c r="AF17" s="2" t="n">
        <v>1.47255</v>
      </c>
      <c r="AG17" s="2" t="inlineStr">
        <is>
          <t>True</t>
        </is>
      </c>
    </row>
    <row r="18">
      <c r="A18" s="2" t="inlineStr">
        <is>
          <t>matt-whitlock</t>
        </is>
      </c>
      <c r="B18" s="2" t="inlineStr">
        <is>
          <t>Matt Whitlock</t>
        </is>
      </c>
      <c r="C18" s="2" t="inlineStr">
        <is>
          <t>KPF</t>
        </is>
      </c>
      <c r="D18" s="2" t="inlineStr">
        <is>
          <t>ND pick 27</t>
        </is>
      </c>
      <c r="E18" s="2" t="n">
        <v>27</v>
      </c>
      <c r="F18" s="2" t="n">
        <v>2024</v>
      </c>
      <c r="G18" s="2" t="inlineStr">
        <is>
          <t>ND</t>
        </is>
      </c>
      <c r="H18" s="2" t="inlineStr">
        <is>
          <t>False</t>
        </is>
      </c>
      <c r="I18" s="2" t="n">
        <v>524</v>
      </c>
      <c r="J18" s="2" t="n">
        <v>468</v>
      </c>
      <c r="K18" s="2" t="n">
        <v>-56</v>
      </c>
      <c r="L18" s="2" t="n">
        <v>-0.1068702290076336</v>
      </c>
      <c r="M18" s="2" t="n">
        <v>492</v>
      </c>
      <c r="N18" s="2" t="inlineStr">
        <is>
          <t>2025:2g@21.5; 2026:3g@27.7</t>
        </is>
      </c>
      <c r="O18" s="2" t="n">
        <v>5</v>
      </c>
      <c r="P18" s="2" t="n">
        <v>3</v>
      </c>
      <c r="Q18" s="2" t="n">
        <v>27.67</v>
      </c>
      <c r="R18" s="2" t="n">
        <v>2025</v>
      </c>
      <c r="S18" s="2" t="n">
        <v>2025</v>
      </c>
      <c r="T18" s="2" t="n">
        <v>0</v>
      </c>
      <c r="U18" s="2" t="inlineStr">
        <is>
          <t>-</t>
        </is>
      </c>
      <c r="V18" s="2" t="n">
        <v>0</v>
      </c>
      <c r="W18" s="2" t="n">
        <v>588.52</v>
      </c>
      <c r="X18" s="2" t="n">
        <v>0.4801</v>
      </c>
      <c r="Y18" s="2" t="n">
        <v>3</v>
      </c>
      <c r="Z18" s="2" t="n">
        <v>3.4091</v>
      </c>
      <c r="AA18" s="2" t="n">
        <v>0.547</v>
      </c>
      <c r="AB18" s="2" t="n">
        <v>0.427007</v>
      </c>
      <c r="AC18" s="2" t="n">
        <v>0.267561</v>
      </c>
      <c r="AD18" s="2" t="n">
        <v>0.669107</v>
      </c>
      <c r="AE18" s="2" t="n">
        <v>0.179027</v>
      </c>
      <c r="AF18" s="2" t="n">
        <v>1.410487</v>
      </c>
      <c r="AG18" s="2" t="inlineStr">
        <is>
          <t>True</t>
        </is>
      </c>
    </row>
    <row r="19">
      <c r="A19" s="2" t="inlineStr">
        <is>
          <t>jay-polkinghorne</t>
        </is>
      </c>
      <c r="B19" s="2" t="inlineStr">
        <is>
          <t>Jay Polkinghorne</t>
        </is>
      </c>
      <c r="C19" s="2" t="inlineStr">
        <is>
          <t>SF</t>
        </is>
      </c>
      <c r="D19" s="2" t="inlineStr">
        <is>
          <t>ND pick 44</t>
        </is>
      </c>
      <c r="E19" s="2" t="n">
        <v>44</v>
      </c>
      <c r="F19" s="2" t="n">
        <v>2024</v>
      </c>
      <c r="G19" s="2" t="inlineStr">
        <is>
          <t>ND</t>
        </is>
      </c>
      <c r="H19" s="2" t="inlineStr">
        <is>
          <t>False</t>
        </is>
      </c>
      <c r="I19" s="2" t="n">
        <v>232</v>
      </c>
      <c r="J19" s="2" t="n">
        <v>209</v>
      </c>
      <c r="K19" s="2" t="n">
        <v>-23</v>
      </c>
      <c r="L19" s="2" t="n">
        <v>-0.09913793103448276</v>
      </c>
      <c r="M19" s="2" t="n">
        <v>220</v>
      </c>
      <c r="N19" s="2" t="inlineStr">
        <is>
          <t>2026:3g@52.7</t>
        </is>
      </c>
      <c r="O19" s="2" t="n">
        <v>3</v>
      </c>
      <c r="P19" s="2" t="n">
        <v>3</v>
      </c>
      <c r="Q19" s="2" t="n">
        <v>52.67</v>
      </c>
      <c r="R19" s="2" t="n">
        <v>2025</v>
      </c>
      <c r="S19" s="2" t="n">
        <v>2026</v>
      </c>
      <c r="T19" s="2" t="n">
        <v>1</v>
      </c>
      <c r="U19" s="2" t="n">
        <v>2025</v>
      </c>
      <c r="V19" s="2" t="n">
        <v>1</v>
      </c>
      <c r="W19" s="2" t="n">
        <v>326.29</v>
      </c>
      <c r="X19" s="2" t="n">
        <v>0.43037</v>
      </c>
      <c r="Y19" s="2" t="n">
        <v>3</v>
      </c>
      <c r="Z19" s="2" t="n">
        <v>3.4091</v>
      </c>
      <c r="AA19" s="2" t="n">
        <v>0.547</v>
      </c>
      <c r="AB19" s="2" t="n">
        <v>0.417648</v>
      </c>
      <c r="AC19" s="2" t="n">
        <v>0.159033</v>
      </c>
      <c r="AD19" s="2" t="n">
        <v>0.663798</v>
      </c>
      <c r="AE19" s="2" t="n">
        <v>0.105566</v>
      </c>
      <c r="AF19" s="2" t="n">
        <v>1.447217</v>
      </c>
      <c r="AG19" s="2" t="inlineStr">
        <is>
          <t>True</t>
        </is>
      </c>
    </row>
    <row r="20">
      <c r="A20" s="2" t="inlineStr">
        <is>
          <t>aidan-johnson</t>
        </is>
      </c>
      <c r="B20" s="2" t="inlineStr">
        <is>
          <t>Aidan Johnson</t>
        </is>
      </c>
      <c r="C20" s="2" t="inlineStr">
        <is>
          <t>KPF</t>
        </is>
      </c>
      <c r="D20" s="2" t="inlineStr">
        <is>
          <t>ND (pool, effpk 65)</t>
        </is>
      </c>
      <c r="E20" s="2" t="n">
        <v>65</v>
      </c>
      <c r="F20" s="2" t="n">
        <v>2024</v>
      </c>
      <c r="G20" s="2" t="inlineStr">
        <is>
          <t>ND</t>
        </is>
      </c>
      <c r="H20" s="2" t="inlineStr">
        <is>
          <t>True</t>
        </is>
      </c>
      <c r="I20" s="2" t="n">
        <v>71</v>
      </c>
      <c r="J20" s="2" t="n">
        <v>77</v>
      </c>
      <c r="K20" s="2" t="n">
        <v>6</v>
      </c>
      <c r="L20" s="2" t="n">
        <v>0.08450704225352113</v>
      </c>
      <c r="M20" s="2" t="n">
        <v>81</v>
      </c>
      <c r="N20" s="2" t="inlineStr">
        <is>
          <t>2025:5g@37.6; 2026:1g@34.0</t>
        </is>
      </c>
      <c r="O20" s="2" t="n">
        <v>6</v>
      </c>
      <c r="P20" s="2" t="n">
        <v>5</v>
      </c>
      <c r="Q20" s="2" t="n">
        <v>37.6</v>
      </c>
      <c r="R20" s="2" t="n">
        <v>2025</v>
      </c>
      <c r="S20" s="2" t="n">
        <v>2025</v>
      </c>
      <c r="T20" s="2" t="n">
        <v>0</v>
      </c>
      <c r="U20" s="2" t="inlineStr">
        <is>
          <t>-</t>
        </is>
      </c>
      <c r="V20" s="2" t="n">
        <v>0</v>
      </c>
      <c r="W20" s="2" t="n">
        <v>191.54</v>
      </c>
      <c r="X20" s="2" t="n">
        <v>0.448</v>
      </c>
      <c r="Y20" s="2" t="n">
        <v>1</v>
      </c>
      <c r="Z20" s="2" t="n">
        <v>1.1364</v>
      </c>
      <c r="AA20" s="2" t="n">
        <v>0.205409</v>
      </c>
      <c r="AB20" s="2" t="n">
        <v>0.09654600000000001</v>
      </c>
      <c r="AC20" s="2" t="n">
        <v>0.07231899999999999</v>
      </c>
      <c r="AD20" s="2" t="n">
        <v>0.635949</v>
      </c>
      <c r="AE20" s="2" t="n">
        <v>0.045991</v>
      </c>
      <c r="AF20" s="2" t="n">
        <v>1.477004</v>
      </c>
      <c r="AG20" s="2" t="inlineStr">
        <is>
          <t>True</t>
        </is>
      </c>
    </row>
    <row r="21">
      <c r="A21" s="2" t="inlineStr">
        <is>
          <t>tom-cochrane</t>
        </is>
      </c>
      <c r="B21" s="2" t="inlineStr">
        <is>
          <t>Tom Cochrane</t>
        </is>
      </c>
      <c r="C21" s="2" t="inlineStr">
        <is>
          <t>SF</t>
        </is>
      </c>
      <c r="D21" s="2" t="inlineStr">
        <is>
          <t>RD:SF (pool, effpk 65)</t>
        </is>
      </c>
      <c r="E21" s="2" t="n">
        <v>65</v>
      </c>
      <c r="F21" s="2" t="n">
        <v>2024</v>
      </c>
      <c r="G21" s="2" t="inlineStr">
        <is>
          <t>RD</t>
        </is>
      </c>
      <c r="H21" s="2" t="inlineStr">
        <is>
          <t>True</t>
        </is>
      </c>
      <c r="I21" s="2" t="n">
        <v>139</v>
      </c>
      <c r="J21" s="2" t="n">
        <v>128</v>
      </c>
      <c r="K21" s="2" t="n">
        <v>-11</v>
      </c>
      <c r="L21" s="2" t="n">
        <v>-0.07913669064748201</v>
      </c>
      <c r="M21" s="2" t="n">
        <v>135</v>
      </c>
      <c r="N21" s="2" t="inlineStr">
        <is>
          <t>2025:3g@34.0; 2026:3g@30.7</t>
        </is>
      </c>
      <c r="O21" s="2" t="n">
        <v>6</v>
      </c>
      <c r="P21" s="2" t="n">
        <v>3</v>
      </c>
      <c r="Q21" s="2" t="n">
        <v>34</v>
      </c>
      <c r="R21" s="2" t="n">
        <v>2025</v>
      </c>
      <c r="S21" s="2" t="n">
        <v>2025</v>
      </c>
      <c r="T21" s="2" t="n">
        <v>0</v>
      </c>
      <c r="U21" s="2" t="inlineStr">
        <is>
          <t>-</t>
        </is>
      </c>
      <c r="V21" s="2" t="n">
        <v>0</v>
      </c>
      <c r="W21" s="2" t="n">
        <v>243.1</v>
      </c>
      <c r="X21" s="2" t="n">
        <v>0.41609</v>
      </c>
      <c r="Y21" s="2" t="n">
        <v>3</v>
      </c>
      <c r="Z21" s="2" t="n">
        <v>3.4091</v>
      </c>
      <c r="AA21" s="2" t="n">
        <v>0.547</v>
      </c>
      <c r="AB21" s="2" t="n">
        <v>0.410451</v>
      </c>
      <c r="AC21" s="2" t="n">
        <v>0.07231899999999999</v>
      </c>
      <c r="AD21" s="2" t="n">
        <v>0.662891</v>
      </c>
      <c r="AE21" s="2" t="n">
        <v>0.04794</v>
      </c>
      <c r="AF21" s="2" t="n">
        <v>1.47603</v>
      </c>
      <c r="AG21" s="2" t="inlineStr">
        <is>
          <t>True</t>
        </is>
      </c>
    </row>
    <row r="22">
      <c r="A22" s="2" t="inlineStr">
        <is>
          <t>taylor-goad</t>
        </is>
      </c>
      <c r="B22" s="2" t="inlineStr">
        <is>
          <t>Taylor Goad</t>
        </is>
      </c>
      <c r="C22" s="2" t="inlineStr">
        <is>
          <t>RUCK</t>
        </is>
      </c>
      <c r="D22" s="2" t="inlineStr">
        <is>
          <t>ND pick 20</t>
        </is>
      </c>
      <c r="E22" s="2" t="n">
        <v>20</v>
      </c>
      <c r="F22" s="2" t="n">
        <v>2023</v>
      </c>
      <c r="G22" s="2" t="inlineStr">
        <is>
          <t>ND</t>
        </is>
      </c>
      <c r="H22" s="2" t="inlineStr">
        <is>
          <t>False</t>
        </is>
      </c>
      <c r="I22" s="2" t="n">
        <v>900</v>
      </c>
      <c r="J22" s="2" t="n">
        <v>830</v>
      </c>
      <c r="K22" s="2" t="n">
        <v>-70</v>
      </c>
      <c r="L22" s="2" t="n">
        <v>-0.07777777777777778</v>
      </c>
      <c r="M22" s="2" t="n">
        <v>874</v>
      </c>
      <c r="N22" s="2" t="inlineStr">
        <is>
          <t>2026:2g@43.5</t>
        </is>
      </c>
      <c r="O22" s="2" t="n">
        <v>2</v>
      </c>
      <c r="P22" s="2" t="n">
        <v>2</v>
      </c>
      <c r="Q22" s="2" t="n">
        <v>43.5</v>
      </c>
      <c r="R22" s="2" t="n">
        <v>2024</v>
      </c>
      <c r="S22" s="2" t="n">
        <v>2026</v>
      </c>
      <c r="T22" s="2" t="n">
        <v>2</v>
      </c>
      <c r="U22" s="2" t="inlineStr">
        <is>
          <t>2024,2025</t>
        </is>
      </c>
      <c r="V22" s="2" t="n">
        <v>2</v>
      </c>
      <c r="W22" s="2" t="n">
        <v>1037.37</v>
      </c>
      <c r="X22" s="2" t="n">
        <v>0.60489</v>
      </c>
      <c r="Y22" s="2" t="n">
        <v>2</v>
      </c>
      <c r="Z22" s="2" t="n">
        <v>2.2727</v>
      </c>
      <c r="AA22" s="2" t="n">
        <v>0.507727</v>
      </c>
      <c r="AB22" s="2" t="n">
        <v>0.391434</v>
      </c>
      <c r="AC22" s="2" t="n">
        <v>0.334254</v>
      </c>
      <c r="AD22" s="2" t="n">
        <v>0.695428</v>
      </c>
      <c r="AE22" s="2" t="n">
        <v>0.232449</v>
      </c>
      <c r="AF22" s="2" t="n">
        <v>1.383775</v>
      </c>
      <c r="AG22" s="2" t="inlineStr">
        <is>
          <t>True</t>
        </is>
      </c>
    </row>
    <row r="23">
      <c r="A23" s="2" t="inlineStr">
        <is>
          <t>noah-roberts-thomson</t>
        </is>
      </c>
      <c r="B23" s="2" t="inlineStr">
        <is>
          <t>Noah Roberts-Thomson</t>
        </is>
      </c>
      <c r="C23" s="2" t="inlineStr">
        <is>
          <t>SF</t>
        </is>
      </c>
      <c r="D23" s="2" t="inlineStr">
        <is>
          <t>ND pick 54</t>
        </is>
      </c>
      <c r="E23" s="2" t="n">
        <v>54</v>
      </c>
      <c r="F23" s="2" t="n">
        <v>2025</v>
      </c>
      <c r="G23" s="2" t="inlineStr">
        <is>
          <t>ND</t>
        </is>
      </c>
      <c r="H23" s="2" t="inlineStr">
        <is>
          <t>False</t>
        </is>
      </c>
      <c r="I23" s="2" t="n">
        <v>197</v>
      </c>
      <c r="J23" s="2" t="n">
        <v>182</v>
      </c>
      <c r="K23" s="2" t="n">
        <v>-15</v>
      </c>
      <c r="L23" s="2" t="n">
        <v>-0.07614213197969544</v>
      </c>
      <c r="M23" s="2" t="n">
        <v>192</v>
      </c>
      <c r="N23" s="2" t="inlineStr">
        <is>
          <t>2026:3g@38.7</t>
        </is>
      </c>
      <c r="O23" s="2" t="n">
        <v>3</v>
      </c>
      <c r="P23" s="2" t="n">
        <v>3</v>
      </c>
      <c r="Q23" s="2" t="n">
        <v>38.7</v>
      </c>
      <c r="R23" s="2" t="n">
        <v>2026</v>
      </c>
      <c r="S23" s="2" t="n">
        <v>2026</v>
      </c>
      <c r="T23" s="2" t="n">
        <v>0</v>
      </c>
      <c r="U23" s="2" t="inlineStr">
        <is>
          <t>-</t>
        </is>
      </c>
      <c r="V23" s="2" t="n">
        <v>0</v>
      </c>
      <c r="W23" s="2" t="n">
        <v>222.51</v>
      </c>
      <c r="X23" s="2" t="n">
        <v>0.62769</v>
      </c>
      <c r="Y23" s="2" t="n">
        <v>3</v>
      </c>
      <c r="Z23" s="2" t="n">
        <v>3.4091</v>
      </c>
      <c r="AA23" s="2" t="n">
        <v>0.547</v>
      </c>
      <c r="AB23" s="2" t="n">
        <v>0.418652</v>
      </c>
      <c r="AC23" s="2" t="n">
        <v>0.113522</v>
      </c>
      <c r="AD23" s="2" t="n">
        <v>1</v>
      </c>
      <c r="AE23" s="2" t="n">
        <v>0.113522</v>
      </c>
      <c r="AF23" s="2" t="n">
        <v>1.443239</v>
      </c>
      <c r="AG23" s="2" t="inlineStr">
        <is>
          <t>True</t>
        </is>
      </c>
    </row>
    <row r="24">
      <c r="A24" s="2" t="inlineStr">
        <is>
          <t>liam-reidy</t>
        </is>
      </c>
      <c r="B24" s="2" t="inlineStr">
        <is>
          <t>Liam Reidy</t>
        </is>
      </c>
      <c r="C24" s="2" t="inlineStr">
        <is>
          <t>RUCK</t>
        </is>
      </c>
      <c r="D24" s="2" t="inlineStr">
        <is>
          <t>RD:RUCK (pool, effpk 65)</t>
        </is>
      </c>
      <c r="E24" s="2" t="n">
        <v>65</v>
      </c>
      <c r="F24" s="2" t="n">
        <v>2022</v>
      </c>
      <c r="G24" s="2" t="inlineStr">
        <is>
          <t>RD</t>
        </is>
      </c>
      <c r="H24" s="2" t="inlineStr">
        <is>
          <t>True</t>
        </is>
      </c>
      <c r="I24" s="2" t="n">
        <v>329</v>
      </c>
      <c r="J24" s="2" t="n">
        <v>304</v>
      </c>
      <c r="K24" s="2" t="n">
        <v>-25</v>
      </c>
      <c r="L24" s="2" t="n">
        <v>-0.07598784194528875</v>
      </c>
      <c r="M24" s="2" t="n">
        <v>320</v>
      </c>
      <c r="N24" s="2" t="inlineStr">
        <is>
          <t>2024:2g@41.0; 2025:1g@34.0; 2026:4g@64.3</t>
        </is>
      </c>
      <c r="O24" s="2" t="n">
        <v>7</v>
      </c>
      <c r="P24" s="2" t="n">
        <v>4</v>
      </c>
      <c r="Q24" s="2" t="n">
        <v>64.28</v>
      </c>
      <c r="R24" s="2" t="n">
        <v>2023</v>
      </c>
      <c r="S24" s="2" t="n">
        <v>2024</v>
      </c>
      <c r="T24" s="2" t="n">
        <v>1</v>
      </c>
      <c r="U24" s="2" t="n">
        <v>2023</v>
      </c>
      <c r="V24" s="2" t="n">
        <v>1</v>
      </c>
      <c r="W24" s="2" t="n">
        <v>296.78</v>
      </c>
      <c r="X24" s="2" t="n">
        <v>0.594</v>
      </c>
      <c r="Y24" s="2" t="n">
        <v>4</v>
      </c>
      <c r="Z24" s="2" t="n">
        <v>4.5455</v>
      </c>
      <c r="AA24" s="2" t="n">
        <v>0.693727</v>
      </c>
      <c r="AB24" s="2" t="n">
        <v>0.5833739999999999</v>
      </c>
      <c r="AC24" s="2" t="n">
        <v>0.07231899999999999</v>
      </c>
      <c r="AD24" s="2" t="n">
        <v>0.725086</v>
      </c>
      <c r="AE24" s="2" t="n">
        <v>0.052438</v>
      </c>
      <c r="AF24" s="2" t="n">
        <v>1.473781</v>
      </c>
      <c r="AG24" s="2" t="inlineStr">
        <is>
          <t>True</t>
        </is>
      </c>
    </row>
    <row r="25">
      <c r="A25" s="2" t="inlineStr">
        <is>
          <t>liam-puncher</t>
        </is>
      </c>
      <c r="B25" s="2" t="inlineStr">
        <is>
          <t>Liam Puncher</t>
        </is>
      </c>
      <c r="C25" s="2" t="inlineStr">
        <is>
          <t>KPD</t>
        </is>
      </c>
      <c r="D25" s="2" t="inlineStr">
        <is>
          <t>MSD (pool, effpk 65)</t>
        </is>
      </c>
      <c r="E25" s="2" t="n">
        <v>65</v>
      </c>
      <c r="F25" s="2" t="n">
        <v>2026</v>
      </c>
      <c r="G25" s="2" t="inlineStr">
        <is>
          <t>MSD</t>
        </is>
      </c>
      <c r="H25" s="2" t="inlineStr">
        <is>
          <t>True</t>
        </is>
      </c>
      <c r="I25" s="2" t="n">
        <v>53</v>
      </c>
      <c r="J25" s="2" t="n">
        <v>57</v>
      </c>
      <c r="K25" s="2" t="n">
        <v>4</v>
      </c>
      <c r="L25" s="2" t="n">
        <v>0.07547169811320754</v>
      </c>
      <c r="M25" s="2" t="n">
        <v>60</v>
      </c>
      <c r="N25" s="2" t="inlineStr">
        <is>
          <t>2026:5g@37.8</t>
        </is>
      </c>
      <c r="O25" s="2" t="n">
        <v>5</v>
      </c>
      <c r="P25" s="2" t="n">
        <v>5</v>
      </c>
      <c r="Q25" s="2" t="n">
        <v>37.8</v>
      </c>
      <c r="R25" s="2" t="n">
        <v>2026</v>
      </c>
      <c r="S25" s="2" t="n">
        <v>2026</v>
      </c>
      <c r="T25" s="2" t="n">
        <v>0</v>
      </c>
      <c r="U25" s="2" t="inlineStr">
        <is>
          <t>-</t>
        </is>
      </c>
      <c r="V25" s="2" t="n">
        <v>0</v>
      </c>
      <c r="W25" s="2" t="n">
        <v>300.99</v>
      </c>
      <c r="X25" s="2" t="n">
        <v>0.70447</v>
      </c>
      <c r="Y25" s="2" t="n">
        <v>5</v>
      </c>
      <c r="Z25" s="2" t="n">
        <v>5.6818</v>
      </c>
      <c r="AA25" s="2" t="n">
        <v>0.941455</v>
      </c>
      <c r="AB25" s="2" t="n">
        <v>0.915475</v>
      </c>
      <c r="AC25" s="2" t="n">
        <v>0.07231899999999999</v>
      </c>
      <c r="AD25" s="2" t="n">
        <v>1</v>
      </c>
      <c r="AE25" s="2" t="n">
        <v>0.07231899999999999</v>
      </c>
      <c r="AF25" s="2" t="n">
        <v>1.46384</v>
      </c>
      <c r="AG25" s="2" t="inlineStr">
        <is>
          <t>True</t>
        </is>
      </c>
    </row>
    <row r="26">
      <c r="A26" s="2" t="inlineStr">
        <is>
          <t>bodie-ryan</t>
        </is>
      </c>
      <c r="B26" s="2" t="inlineStr">
        <is>
          <t>Bodie Ryan</t>
        </is>
      </c>
      <c r="C26" s="2" t="inlineStr">
        <is>
          <t>SD</t>
        </is>
      </c>
      <c r="D26" s="2" t="inlineStr">
        <is>
          <t>ND pick 46</t>
        </is>
      </c>
      <c r="E26" s="2" t="n">
        <v>46</v>
      </c>
      <c r="F26" s="2" t="n">
        <v>2023</v>
      </c>
      <c r="G26" s="2" t="inlineStr">
        <is>
          <t>ND</t>
        </is>
      </c>
      <c r="H26" s="2" t="inlineStr">
        <is>
          <t>False</t>
        </is>
      </c>
      <c r="I26" s="2" t="n">
        <v>211</v>
      </c>
      <c r="J26" s="2" t="n">
        <v>196</v>
      </c>
      <c r="K26" s="2" t="n">
        <v>-15</v>
      </c>
      <c r="L26" s="2" t="n">
        <v>-0.07109004739336493</v>
      </c>
      <c r="M26" s="2" t="n">
        <v>206</v>
      </c>
      <c r="N26" s="2" t="inlineStr">
        <is>
          <t>2026:4g@37.9</t>
        </is>
      </c>
      <c r="O26" s="2" t="n">
        <v>4</v>
      </c>
      <c r="P26" s="2" t="n">
        <v>4</v>
      </c>
      <c r="Q26" s="2" t="n">
        <v>37.88</v>
      </c>
      <c r="R26" s="2" t="n">
        <v>2024</v>
      </c>
      <c r="S26" s="2" t="n">
        <v>2026</v>
      </c>
      <c r="T26" s="2" t="n">
        <v>2</v>
      </c>
      <c r="U26" s="2" t="inlineStr">
        <is>
          <t>2024,2025</t>
        </is>
      </c>
      <c r="V26" s="2" t="n">
        <v>2</v>
      </c>
      <c r="W26" s="2" t="n">
        <v>312.21</v>
      </c>
      <c r="X26" s="2" t="n">
        <v>0.36425</v>
      </c>
      <c r="Y26" s="2" t="n">
        <v>4</v>
      </c>
      <c r="Z26" s="2" t="n">
        <v>4.5455</v>
      </c>
      <c r="AA26" s="2" t="n">
        <v>0.693727</v>
      </c>
      <c r="AB26" s="2" t="n">
        <v>0.586829</v>
      </c>
      <c r="AC26" s="2" t="n">
        <v>0.149155</v>
      </c>
      <c r="AD26" s="2" t="n">
        <v>0.568097</v>
      </c>
      <c r="AE26" s="2" t="n">
        <v>0.084734</v>
      </c>
      <c r="AF26" s="2" t="n">
        <v>1.457633</v>
      </c>
      <c r="AG26" s="2" t="inlineStr">
        <is>
          <t>True</t>
        </is>
      </c>
    </row>
    <row r="27">
      <c r="A27" s="2" t="inlineStr">
        <is>
          <t>cody-curtin</t>
        </is>
      </c>
      <c r="B27" s="2" t="inlineStr">
        <is>
          <t>Cody Curtin</t>
        </is>
      </c>
      <c r="C27" s="2" t="inlineStr">
        <is>
          <t>KPF</t>
        </is>
      </c>
      <c r="D27" s="2" t="inlineStr">
        <is>
          <t>ND pick 43</t>
        </is>
      </c>
      <c r="E27" s="2" t="n">
        <v>43</v>
      </c>
      <c r="F27" s="2" t="n">
        <v>2025</v>
      </c>
      <c r="G27" s="2" t="inlineStr">
        <is>
          <t>ND</t>
        </is>
      </c>
      <c r="H27" s="2" t="inlineStr">
        <is>
          <t>False</t>
        </is>
      </c>
      <c r="I27" s="2" t="n">
        <v>420</v>
      </c>
      <c r="J27" s="2" t="n">
        <v>391</v>
      </c>
      <c r="K27" s="2" t="n">
        <v>-29</v>
      </c>
      <c r="L27" s="2" t="n">
        <v>-0.06904761904761905</v>
      </c>
      <c r="M27" s="2" t="n">
        <v>412</v>
      </c>
      <c r="N27" s="2" t="inlineStr">
        <is>
          <t>2026:4g@29.8</t>
        </is>
      </c>
      <c r="O27" s="2" t="n">
        <v>4</v>
      </c>
      <c r="P27" s="2" t="n">
        <v>4</v>
      </c>
      <c r="Q27" s="2" t="n">
        <v>29.8</v>
      </c>
      <c r="R27" s="2" t="n">
        <v>2026</v>
      </c>
      <c r="S27" s="2" t="n">
        <v>2026</v>
      </c>
      <c r="T27" s="2" t="n">
        <v>0</v>
      </c>
      <c r="U27" s="2" t="inlineStr">
        <is>
          <t>-</t>
        </is>
      </c>
      <c r="V27" s="2" t="n">
        <v>0</v>
      </c>
      <c r="W27" s="2" t="n">
        <v>320.55</v>
      </c>
      <c r="X27" s="2" t="n">
        <v>0.70203</v>
      </c>
      <c r="Y27" s="2" t="n">
        <v>4</v>
      </c>
      <c r="Z27" s="2" t="n">
        <v>4.5455</v>
      </c>
      <c r="AA27" s="2" t="n">
        <v>0.693727</v>
      </c>
      <c r="AB27" s="2" t="n">
        <v>0.595411</v>
      </c>
      <c r="AC27" s="2" t="n">
        <v>0.164142</v>
      </c>
      <c r="AD27" s="2" t="n">
        <v>1</v>
      </c>
      <c r="AE27" s="2" t="n">
        <v>0.164142</v>
      </c>
      <c r="AF27" s="2" t="n">
        <v>1.417929</v>
      </c>
      <c r="AG27" s="2" t="inlineStr">
        <is>
          <t>True</t>
        </is>
      </c>
    </row>
    <row r="28">
      <c r="A28" s="2" t="inlineStr">
        <is>
          <t>oliver-francou</t>
        </is>
      </c>
      <c r="B28" s="2" t="inlineStr">
        <is>
          <t>Oliver Francou</t>
        </is>
      </c>
      <c r="C28" s="2" t="inlineStr">
        <is>
          <t>MID</t>
        </is>
      </c>
      <c r="D28" s="2" t="inlineStr">
        <is>
          <t>MSD (pool, effpk 65)</t>
        </is>
      </c>
      <c r="E28" s="2" t="n">
        <v>65</v>
      </c>
      <c r="F28" s="2" t="n">
        <v>2026</v>
      </c>
      <c r="G28" s="2" t="inlineStr">
        <is>
          <t>MSD</t>
        </is>
      </c>
      <c r="H28" s="2" t="inlineStr">
        <is>
          <t>True</t>
        </is>
      </c>
      <c r="I28" s="2" t="n">
        <v>274</v>
      </c>
      <c r="J28" s="2" t="n">
        <v>258</v>
      </c>
      <c r="K28" s="2" t="n">
        <v>-16</v>
      </c>
      <c r="L28" s="2" t="n">
        <v>-0.0583941605839416</v>
      </c>
      <c r="M28" s="2" t="n">
        <v>272</v>
      </c>
      <c r="N28" s="2" t="inlineStr">
        <is>
          <t>2026:4g@71.5</t>
        </is>
      </c>
      <c r="O28" s="2" t="n">
        <v>4</v>
      </c>
      <c r="P28" s="2" t="n">
        <v>4</v>
      </c>
      <c r="Q28" s="2" t="n">
        <v>71.5</v>
      </c>
      <c r="R28" s="2" t="n">
        <v>2026</v>
      </c>
      <c r="S28" s="2" t="n">
        <v>2026</v>
      </c>
      <c r="T28" s="2" t="n">
        <v>0</v>
      </c>
      <c r="U28" s="2" t="inlineStr">
        <is>
          <t>-</t>
        </is>
      </c>
      <c r="V28" s="2" t="n">
        <v>0</v>
      </c>
      <c r="W28" s="2" t="n">
        <v>300.99</v>
      </c>
      <c r="X28" s="2" t="n">
        <v>0.62769</v>
      </c>
      <c r="Y28" s="2" t="n">
        <v>4</v>
      </c>
      <c r="Z28" s="2" t="n">
        <v>4.5455</v>
      </c>
      <c r="AA28" s="2" t="n">
        <v>0.693727</v>
      </c>
      <c r="AB28" s="2" t="n">
        <v>0.585498</v>
      </c>
      <c r="AC28" s="2" t="n">
        <v>0.07231899999999999</v>
      </c>
      <c r="AD28" s="2" t="n">
        <v>1</v>
      </c>
      <c r="AE28" s="2" t="n">
        <v>0.07231899999999999</v>
      </c>
      <c r="AF28" s="2" t="n">
        <v>1.46384</v>
      </c>
      <c r="AG28" s="2" t="inlineStr">
        <is>
          <t>True</t>
        </is>
      </c>
    </row>
    <row r="29">
      <c r="A29" s="2" t="inlineStr">
        <is>
          <t>max-ramsden</t>
        </is>
      </c>
      <c r="B29" s="2" t="inlineStr">
        <is>
          <t>Max Ramsden</t>
        </is>
      </c>
      <c r="C29" s="2" t="inlineStr">
        <is>
          <t>KPF</t>
        </is>
      </c>
      <c r="D29" s="2" t="inlineStr">
        <is>
          <t>MSD (pool, effpk 65)</t>
        </is>
      </c>
      <c r="E29" s="2" t="n">
        <v>65</v>
      </c>
      <c r="F29" s="2" t="n">
        <v>2022</v>
      </c>
      <c r="G29" s="2" t="inlineStr">
        <is>
          <t>MSD</t>
        </is>
      </c>
      <c r="H29" s="2" t="inlineStr">
        <is>
          <t>True</t>
        </is>
      </c>
      <c r="I29" s="2" t="n">
        <v>120</v>
      </c>
      <c r="J29" s="2" t="n">
        <v>113</v>
      </c>
      <c r="K29" s="2" t="n">
        <v>-7</v>
      </c>
      <c r="L29" s="2" t="n">
        <v>-0.05833333333333333</v>
      </c>
      <c r="M29" s="2" t="n">
        <v>119</v>
      </c>
      <c r="N29" s="2" t="inlineStr">
        <is>
          <t>2023:2g@25.5; 2024:3g@34.0; 2025:4g@63.2; 2026:2g@40.5</t>
        </is>
      </c>
      <c r="O29" s="2" t="n">
        <v>11</v>
      </c>
      <c r="P29" s="2" t="n">
        <v>4</v>
      </c>
      <c r="Q29" s="2" t="n">
        <v>63.2</v>
      </c>
      <c r="R29" s="2" t="n">
        <v>2022</v>
      </c>
      <c r="S29" s="2" t="n">
        <v>2023</v>
      </c>
      <c r="T29" s="2" t="n">
        <v>1</v>
      </c>
      <c r="U29" s="2" t="n">
        <v>2022</v>
      </c>
      <c r="V29" s="2" t="n">
        <v>1</v>
      </c>
      <c r="W29" s="2" t="n">
        <v>300.99</v>
      </c>
      <c r="X29" s="2" t="n">
        <v>0.334</v>
      </c>
      <c r="Y29" s="2" t="n">
        <v>2</v>
      </c>
      <c r="Z29" s="2" t="n">
        <v>2.2727</v>
      </c>
      <c r="AA29" s="2" t="n">
        <v>0.507727</v>
      </c>
      <c r="AB29" s="2" t="n">
        <v>0.36601</v>
      </c>
      <c r="AC29" s="2" t="n">
        <v>0.07231899999999999</v>
      </c>
      <c r="AD29" s="2" t="n">
        <v>0.474118</v>
      </c>
      <c r="AE29" s="2" t="n">
        <v>0.034288</v>
      </c>
      <c r="AF29" s="2" t="n">
        <v>1.482856</v>
      </c>
      <c r="AG29" s="2" t="inlineStr">
        <is>
          <t>True</t>
        </is>
      </c>
    </row>
    <row r="30">
      <c r="A30" s="2" t="inlineStr">
        <is>
          <t>ollie-greeves</t>
        </is>
      </c>
      <c r="B30" s="2" t="inlineStr">
        <is>
          <t>Ollie Greeves</t>
        </is>
      </c>
      <c r="C30" s="2" t="inlineStr">
        <is>
          <t>MID</t>
        </is>
      </c>
      <c r="D30" s="2" t="inlineStr">
        <is>
          <t>RD:MID (pool, effpk 65)</t>
        </is>
      </c>
      <c r="E30" s="2" t="n">
        <v>65</v>
      </c>
      <c r="F30" s="2" t="n">
        <v>2025</v>
      </c>
      <c r="G30" s="2" t="inlineStr">
        <is>
          <t>RD</t>
        </is>
      </c>
      <c r="H30" s="2" t="inlineStr">
        <is>
          <t>True</t>
        </is>
      </c>
      <c r="I30" s="2" t="n">
        <v>285</v>
      </c>
      <c r="J30" s="2" t="n">
        <v>269</v>
      </c>
      <c r="K30" s="2" t="n">
        <v>-16</v>
      </c>
      <c r="L30" s="2" t="n">
        <v>-0.05614035087719298</v>
      </c>
      <c r="M30" s="2" t="n">
        <v>283</v>
      </c>
      <c r="N30" s="2" t="inlineStr">
        <is>
          <t>2026:4g@44.0</t>
        </is>
      </c>
      <c r="O30" s="2" t="n">
        <v>4</v>
      </c>
      <c r="P30" s="2" t="n">
        <v>4</v>
      </c>
      <c r="Q30" s="2" t="n">
        <v>44</v>
      </c>
      <c r="R30" s="2" t="n">
        <v>2026</v>
      </c>
      <c r="S30" s="2" t="n">
        <v>2026</v>
      </c>
      <c r="T30" s="2" t="n">
        <v>0</v>
      </c>
      <c r="U30" s="2" t="inlineStr">
        <is>
          <t>-</t>
        </is>
      </c>
      <c r="V30" s="2" t="n">
        <v>0</v>
      </c>
      <c r="W30" s="2" t="n">
        <v>309.41</v>
      </c>
      <c r="X30" s="2" t="n">
        <v>0.62769</v>
      </c>
      <c r="Y30" s="2" t="n">
        <v>4</v>
      </c>
      <c r="Z30" s="2" t="n">
        <v>4.5455</v>
      </c>
      <c r="AA30" s="2" t="n">
        <v>0.693727</v>
      </c>
      <c r="AB30" s="2" t="n">
        <v>0.585498</v>
      </c>
      <c r="AC30" s="2" t="n">
        <v>0.07231899999999999</v>
      </c>
      <c r="AD30" s="2" t="n">
        <v>1</v>
      </c>
      <c r="AE30" s="2" t="n">
        <v>0.07231899999999999</v>
      </c>
      <c r="AF30" s="2" t="n">
        <v>1.46384</v>
      </c>
      <c r="AG30" s="2" t="inlineStr">
        <is>
          <t>True</t>
        </is>
      </c>
    </row>
    <row r="31">
      <c r="A31" s="2" t="inlineStr">
        <is>
          <t>william-mccabe</t>
        </is>
      </c>
      <c r="B31" s="2" t="inlineStr">
        <is>
          <t>William McCabe</t>
        </is>
      </c>
      <c r="C31" s="2" t="inlineStr">
        <is>
          <t>KPF</t>
        </is>
      </c>
      <c r="D31" s="2" t="inlineStr">
        <is>
          <t>ND pick 19</t>
        </is>
      </c>
      <c r="E31" s="2" t="n">
        <v>19</v>
      </c>
      <c r="F31" s="2" t="n">
        <v>2023</v>
      </c>
      <c r="G31" s="2" t="inlineStr">
        <is>
          <t>ND</t>
        </is>
      </c>
      <c r="H31" s="2" t="inlineStr">
        <is>
          <t>False</t>
        </is>
      </c>
      <c r="I31" s="2" t="n">
        <v>575</v>
      </c>
      <c r="J31" s="2" t="n">
        <v>544</v>
      </c>
      <c r="K31" s="2" t="n">
        <v>-31</v>
      </c>
      <c r="L31" s="2" t="n">
        <v>-0.05391304347826087</v>
      </c>
      <c r="M31" s="2" t="n">
        <v>572</v>
      </c>
      <c r="N31" s="2" t="inlineStr">
        <is>
          <t>2026:4g@31.8</t>
        </is>
      </c>
      <c r="O31" s="2" t="n">
        <v>4</v>
      </c>
      <c r="P31" s="2" t="n">
        <v>4</v>
      </c>
      <c r="Q31" s="2" t="n">
        <v>31.75</v>
      </c>
      <c r="R31" s="2" t="n">
        <v>2024</v>
      </c>
      <c r="S31" s="2" t="n">
        <v>2026</v>
      </c>
      <c r="T31" s="2" t="n">
        <v>2</v>
      </c>
      <c r="U31" s="2" t="inlineStr">
        <is>
          <t>2024,2025</t>
        </is>
      </c>
      <c r="V31" s="2" t="n">
        <v>2</v>
      </c>
      <c r="W31" s="2" t="n">
        <v>778.4400000000001</v>
      </c>
      <c r="X31" s="2" t="n">
        <v>0.46039</v>
      </c>
      <c r="Y31" s="2" t="n">
        <v>4</v>
      </c>
      <c r="Z31" s="2" t="n">
        <v>4.5455</v>
      </c>
      <c r="AA31" s="2" t="n">
        <v>0.693727</v>
      </c>
      <c r="AB31" s="2" t="n">
        <v>0.600922</v>
      </c>
      <c r="AC31" s="2" t="n">
        <v>0.345653</v>
      </c>
      <c r="AD31" s="2" t="n">
        <v>0.620648</v>
      </c>
      <c r="AE31" s="2" t="n">
        <v>0.214528</v>
      </c>
      <c r="AF31" s="2" t="n">
        <v>1.392736</v>
      </c>
      <c r="AG31" s="2" t="inlineStr">
        <is>
          <t>True</t>
        </is>
      </c>
    </row>
    <row r="32">
      <c r="A32" s="2" t="inlineStr">
        <is>
          <t>flynn-riley</t>
        </is>
      </c>
      <c r="B32" s="2" t="inlineStr">
        <is>
          <t>Flynn Riley</t>
        </is>
      </c>
      <c r="C32" s="2" t="inlineStr">
        <is>
          <t>RUCK</t>
        </is>
      </c>
      <c r="D32" s="2" t="inlineStr">
        <is>
          <t>MSD (pool, effpk 65)</t>
        </is>
      </c>
      <c r="E32" s="2" t="n">
        <v>65</v>
      </c>
      <c r="F32" s="2" t="n">
        <v>2026</v>
      </c>
      <c r="G32" s="2" t="inlineStr">
        <is>
          <t>MSD</t>
        </is>
      </c>
      <c r="H32" s="2" t="inlineStr">
        <is>
          <t>True</t>
        </is>
      </c>
      <c r="I32" s="2" t="n">
        <v>261</v>
      </c>
      <c r="J32" s="2" t="n">
        <v>247</v>
      </c>
      <c r="K32" s="2" t="n">
        <v>-14</v>
      </c>
      <c r="L32" s="2" t="n">
        <v>-0.05363984674329502</v>
      </c>
      <c r="M32" s="2" t="n">
        <v>260</v>
      </c>
      <c r="N32" s="2" t="inlineStr">
        <is>
          <t>2026:1g@80.0</t>
        </is>
      </c>
      <c r="O32" s="2" t="n">
        <v>1</v>
      </c>
      <c r="P32" s="2" t="n">
        <v>1</v>
      </c>
      <c r="Q32" s="2" t="n">
        <v>80</v>
      </c>
      <c r="R32" s="2" t="n">
        <v>2026</v>
      </c>
      <c r="S32" s="2" t="n">
        <v>2026</v>
      </c>
      <c r="T32" s="2" t="n">
        <v>0</v>
      </c>
      <c r="U32" s="2" t="inlineStr">
        <is>
          <t>-</t>
        </is>
      </c>
      <c r="V32" s="2" t="n">
        <v>0</v>
      </c>
      <c r="W32" s="2" t="n">
        <v>300.99</v>
      </c>
      <c r="X32" s="2" t="n">
        <v>0.81921</v>
      </c>
      <c r="Y32" s="2" t="n">
        <v>1</v>
      </c>
      <c r="Z32" s="2" t="n">
        <v>1.1364</v>
      </c>
      <c r="AA32" s="2" t="n">
        <v>0.205409</v>
      </c>
      <c r="AB32" s="2" t="n">
        <v>0.098579</v>
      </c>
      <c r="AC32" s="2" t="n">
        <v>0.07231899999999999</v>
      </c>
      <c r="AD32" s="2" t="n">
        <v>1</v>
      </c>
      <c r="AE32" s="2" t="n">
        <v>0.07231899999999999</v>
      </c>
      <c r="AF32" s="2" t="n">
        <v>1.46384</v>
      </c>
      <c r="AG32" s="2" t="inlineStr">
        <is>
          <t>True</t>
        </is>
      </c>
    </row>
    <row r="33">
      <c r="A33" s="2" t="inlineStr">
        <is>
          <t>oscar-ryan</t>
        </is>
      </c>
      <c r="B33" s="2" t="inlineStr">
        <is>
          <t>Oscar Ryan</t>
        </is>
      </c>
      <c r="C33" s="2" t="inlineStr">
        <is>
          <t>SD</t>
        </is>
      </c>
      <c r="D33" s="2" t="inlineStr">
        <is>
          <t>ND pick 27</t>
        </is>
      </c>
      <c r="E33" s="2" t="n">
        <v>27</v>
      </c>
      <c r="F33" s="2" t="n">
        <v>2023</v>
      </c>
      <c r="G33" s="2" t="inlineStr">
        <is>
          <t>ND</t>
        </is>
      </c>
      <c r="H33" s="2" t="inlineStr">
        <is>
          <t>False</t>
        </is>
      </c>
      <c r="I33" s="2" t="n">
        <v>271</v>
      </c>
      <c r="J33" s="2" t="n">
        <v>257</v>
      </c>
      <c r="K33" s="2" t="n">
        <v>-14</v>
      </c>
      <c r="L33" s="2" t="n">
        <v>-0.05166051660516605</v>
      </c>
      <c r="M33" s="2" t="n">
        <v>270</v>
      </c>
      <c r="N33" s="2" t="inlineStr">
        <is>
          <t>2026:1g@96.0</t>
        </is>
      </c>
      <c r="O33" s="2" t="n">
        <v>1</v>
      </c>
      <c r="P33" s="2" t="n">
        <v>1</v>
      </c>
      <c r="Q33" s="2" t="n">
        <v>96</v>
      </c>
      <c r="R33" s="2" t="n">
        <v>2024</v>
      </c>
      <c r="S33" s="2" t="n">
        <v>2026</v>
      </c>
      <c r="T33" s="2" t="n">
        <v>2</v>
      </c>
      <c r="U33" s="2" t="inlineStr">
        <is>
          <t>2024,2025</t>
        </is>
      </c>
      <c r="V33" s="2" t="n">
        <v>2</v>
      </c>
      <c r="W33" s="2" t="n">
        <v>587.05</v>
      </c>
      <c r="X33" s="2" t="n">
        <v>0.43274</v>
      </c>
      <c r="Y33" s="2" t="n">
        <v>1</v>
      </c>
      <c r="Z33" s="2" t="n">
        <v>1.1364</v>
      </c>
      <c r="AA33" s="2" t="n">
        <v>0.205409</v>
      </c>
      <c r="AB33" s="2" t="n">
        <v>0.105776</v>
      </c>
      <c r="AC33" s="2" t="n">
        <v>0.267561</v>
      </c>
      <c r="AD33" s="2" t="n">
        <v>0.603097</v>
      </c>
      <c r="AE33" s="2" t="n">
        <v>0.161365</v>
      </c>
      <c r="AF33" s="2" t="n">
        <v>1.419317</v>
      </c>
      <c r="AG33" s="2" t="inlineStr">
        <is>
          <t>True</t>
        </is>
      </c>
    </row>
    <row r="34">
      <c r="A34" s="2" t="inlineStr">
        <is>
          <t>cameron-nairn</t>
        </is>
      </c>
      <c r="B34" s="2" t="inlineStr">
        <is>
          <t>Cameron Nairn</t>
        </is>
      </c>
      <c r="C34" s="2" t="inlineStr">
        <is>
          <t>SF</t>
        </is>
      </c>
      <c r="D34" s="2" t="inlineStr">
        <is>
          <t>ND pick 20</t>
        </is>
      </c>
      <c r="E34" s="2" t="n">
        <v>20</v>
      </c>
      <c r="F34" s="2" t="n">
        <v>2025</v>
      </c>
      <c r="G34" s="2" t="inlineStr">
        <is>
          <t>ND</t>
        </is>
      </c>
      <c r="H34" s="2" t="inlineStr">
        <is>
          <t>False</t>
        </is>
      </c>
      <c r="I34" s="2" t="n">
        <v>424</v>
      </c>
      <c r="J34" s="2" t="n">
        <v>444</v>
      </c>
      <c r="K34" s="2" t="n">
        <v>20</v>
      </c>
      <c r="L34" s="2" t="n">
        <v>0.04716981132075472</v>
      </c>
      <c r="M34" s="2" t="n">
        <v>467</v>
      </c>
      <c r="N34" s="2" t="inlineStr">
        <is>
          <t>2026:3g@42.8</t>
        </is>
      </c>
      <c r="O34" s="2" t="n">
        <v>3</v>
      </c>
      <c r="P34" s="2" t="n">
        <v>3</v>
      </c>
      <c r="Q34" s="2" t="n">
        <v>42.8</v>
      </c>
      <c r="R34" s="2" t="n">
        <v>2026</v>
      </c>
      <c r="S34" s="2" t="n">
        <v>2026</v>
      </c>
      <c r="T34" s="2" t="n">
        <v>0</v>
      </c>
      <c r="U34" s="2" t="inlineStr">
        <is>
          <t>-</t>
        </is>
      </c>
      <c r="V34" s="2" t="n">
        <v>0</v>
      </c>
      <c r="W34" s="2" t="n">
        <v>760.16</v>
      </c>
      <c r="X34" s="2" t="n">
        <v>0.73825</v>
      </c>
      <c r="Y34" s="2" t="n">
        <v>3</v>
      </c>
      <c r="Z34" s="2" t="n">
        <v>3.4091</v>
      </c>
      <c r="AA34" s="2" t="n">
        <v>0.547</v>
      </c>
      <c r="AB34" s="2" t="n">
        <v>0.447477</v>
      </c>
      <c r="AC34" s="2" t="n">
        <v>0.334254</v>
      </c>
      <c r="AD34" s="2" t="n">
        <v>1</v>
      </c>
      <c r="AE34" s="2" t="n">
        <v>0.334254</v>
      </c>
      <c r="AF34" s="2" t="n">
        <v>1.332873</v>
      </c>
      <c r="AG34" s="2" t="inlineStr">
        <is>
          <t>True</t>
        </is>
      </c>
    </row>
    <row r="35">
      <c r="A35" s="2" t="inlineStr">
        <is>
          <t>balyn-o-brien</t>
        </is>
      </c>
      <c r="B35" s="2" t="inlineStr">
        <is>
          <t>Balyn O'Brien</t>
        </is>
      </c>
      <c r="C35" s="2" t="inlineStr">
        <is>
          <t>SD</t>
        </is>
      </c>
      <c r="D35" s="2" t="inlineStr">
        <is>
          <t>SSP (pool, effpk 65)</t>
        </is>
      </c>
      <c r="E35" s="2" t="n">
        <v>65</v>
      </c>
      <c r="F35" s="2" t="n">
        <v>2025</v>
      </c>
      <c r="G35" s="2" t="inlineStr">
        <is>
          <t>SSP</t>
        </is>
      </c>
      <c r="H35" s="2" t="inlineStr">
        <is>
          <t>True</t>
        </is>
      </c>
      <c r="I35" s="2" t="n">
        <v>200</v>
      </c>
      <c r="J35" s="2" t="n">
        <v>191</v>
      </c>
      <c r="K35" s="2" t="n">
        <v>-9</v>
      </c>
      <c r="L35" s="2" t="n">
        <v>-0.045</v>
      </c>
      <c r="M35" s="2" t="n">
        <v>201</v>
      </c>
      <c r="N35" s="2" t="inlineStr">
        <is>
          <t>2026:3g@27.7</t>
        </is>
      </c>
      <c r="O35" s="2" t="n">
        <v>3</v>
      </c>
      <c r="P35" s="2" t="n">
        <v>3</v>
      </c>
      <c r="Q35" s="2" t="n">
        <v>27.67</v>
      </c>
      <c r="R35" s="2" t="n">
        <v>2026</v>
      </c>
      <c r="S35" s="2" t="n">
        <v>2026</v>
      </c>
      <c r="T35" s="2" t="n">
        <v>0</v>
      </c>
      <c r="U35" s="2" t="inlineStr">
        <is>
          <t>-</t>
        </is>
      </c>
      <c r="V35" s="2" t="n">
        <v>0</v>
      </c>
      <c r="W35" s="2" t="n">
        <v>265.2</v>
      </c>
      <c r="X35" s="2" t="n">
        <v>0.62769</v>
      </c>
      <c r="Y35" s="2" t="n">
        <v>3</v>
      </c>
      <c r="Z35" s="2" t="n">
        <v>3.4091</v>
      </c>
      <c r="AA35" s="2" t="n">
        <v>0.547</v>
      </c>
      <c r="AB35" s="2" t="n">
        <v>0.413481</v>
      </c>
      <c r="AC35" s="2" t="n">
        <v>0.07231899999999999</v>
      </c>
      <c r="AD35" s="2" t="n">
        <v>1</v>
      </c>
      <c r="AE35" s="2" t="n">
        <v>0.07231899999999999</v>
      </c>
      <c r="AF35" s="2" t="n">
        <v>1.46384</v>
      </c>
      <c r="AG35" s="2" t="inlineStr">
        <is>
          <t>True</t>
        </is>
      </c>
    </row>
    <row r="36">
      <c r="A36" s="2" t="inlineStr">
        <is>
          <t>jacob-newton</t>
        </is>
      </c>
      <c r="B36" s="2" t="inlineStr">
        <is>
          <t>Jacob Newton</t>
        </is>
      </c>
      <c r="C36" s="2" t="inlineStr">
        <is>
          <t>SF</t>
        </is>
      </c>
      <c r="D36" s="2" t="inlineStr">
        <is>
          <t>MSD (pool, effpk 65)</t>
        </is>
      </c>
      <c r="E36" s="2" t="n">
        <v>65</v>
      </c>
      <c r="F36" s="2" t="n">
        <v>2025</v>
      </c>
      <c r="G36" s="2" t="inlineStr">
        <is>
          <t>MSD</t>
        </is>
      </c>
      <c r="H36" s="2" t="inlineStr">
        <is>
          <t>True</t>
        </is>
      </c>
      <c r="I36" s="2" t="n">
        <v>134</v>
      </c>
      <c r="J36" s="2" t="n">
        <v>128</v>
      </c>
      <c r="K36" s="2" t="n">
        <v>-6</v>
      </c>
      <c r="L36" s="2" t="n">
        <v>-0.04477611940298507</v>
      </c>
      <c r="M36" s="2" t="n">
        <v>135</v>
      </c>
      <c r="N36" s="2" t="inlineStr">
        <is>
          <t>2025:2g@25.5; 2026:3g@27.7</t>
        </is>
      </c>
      <c r="O36" s="2" t="n">
        <v>5</v>
      </c>
      <c r="P36" s="2" t="n">
        <v>3</v>
      </c>
      <c r="Q36" s="2" t="n">
        <v>27.7</v>
      </c>
      <c r="R36" s="2" t="n">
        <v>2025</v>
      </c>
      <c r="S36" s="2" t="n">
        <v>2025</v>
      </c>
      <c r="T36" s="2" t="n">
        <v>0</v>
      </c>
      <c r="U36" s="2" t="inlineStr">
        <is>
          <t>-</t>
        </is>
      </c>
      <c r="V36" s="2" t="n">
        <v>0</v>
      </c>
      <c r="W36" s="2" t="n">
        <v>300.99</v>
      </c>
      <c r="X36" s="2" t="n">
        <v>0.388</v>
      </c>
      <c r="Y36" s="2" t="n">
        <v>3</v>
      </c>
      <c r="Z36" s="2" t="n">
        <v>3</v>
      </c>
      <c r="AA36" s="2" t="n">
        <v>0.547</v>
      </c>
      <c r="AB36" s="2" t="n">
        <v>0.410844</v>
      </c>
      <c r="AC36" s="2" t="n">
        <v>0.07231899999999999</v>
      </c>
      <c r="AD36" s="2" t="n">
        <v>0.70674</v>
      </c>
      <c r="AE36" s="2" t="n">
        <v>0.051111</v>
      </c>
      <c r="AF36" s="2" t="n">
        <v>1.474445</v>
      </c>
      <c r="AG36" s="2" t="inlineStr">
        <is>
          <t>True</t>
        </is>
      </c>
    </row>
    <row r="37">
      <c r="A37" s="2" t="inlineStr">
        <is>
          <t>aidan-schubert</t>
        </is>
      </c>
      <c r="B37" s="2" t="inlineStr">
        <is>
          <t>Aidan Schubert</t>
        </is>
      </c>
      <c r="C37" s="2" t="inlineStr">
        <is>
          <t>KPF</t>
        </is>
      </c>
      <c r="D37" s="2" t="inlineStr">
        <is>
          <t>ND pick 23</t>
        </is>
      </c>
      <c r="E37" s="2" t="n">
        <v>23</v>
      </c>
      <c r="F37" s="2" t="n">
        <v>2025</v>
      </c>
      <c r="G37" s="2" t="inlineStr">
        <is>
          <t>ND</t>
        </is>
      </c>
      <c r="H37" s="2" t="inlineStr">
        <is>
          <t>False</t>
        </is>
      </c>
      <c r="I37" s="2" t="n">
        <v>519</v>
      </c>
      <c r="J37" s="2" t="n">
        <v>499</v>
      </c>
      <c r="K37" s="2" t="n">
        <v>-20</v>
      </c>
      <c r="L37" s="2" t="n">
        <v>-0.03853564547206165</v>
      </c>
      <c r="M37" s="2" t="n">
        <v>525</v>
      </c>
      <c r="N37" s="2" t="inlineStr">
        <is>
          <t>2026:1g@24.0</t>
        </is>
      </c>
      <c r="O37" s="2" t="n">
        <v>1</v>
      </c>
      <c r="P37" s="2" t="n">
        <v>1</v>
      </c>
      <c r="Q37" s="2" t="n">
        <v>24</v>
      </c>
      <c r="R37" s="2" t="n">
        <v>2026</v>
      </c>
      <c r="S37" s="2" t="n">
        <v>2026</v>
      </c>
      <c r="T37" s="2" t="n">
        <v>0</v>
      </c>
      <c r="U37" s="2" t="inlineStr">
        <is>
          <t>-</t>
        </is>
      </c>
      <c r="V37" s="2" t="n">
        <v>0</v>
      </c>
      <c r="W37" s="2" t="n">
        <v>680.78</v>
      </c>
      <c r="X37" s="2" t="n">
        <v>0.7286</v>
      </c>
      <c r="Y37" s="2" t="n">
        <v>1</v>
      </c>
      <c r="Z37" s="2" t="n">
        <v>1.1364</v>
      </c>
      <c r="AA37" s="2" t="n">
        <v>0.205409</v>
      </c>
      <c r="AB37" s="2" t="n">
        <v>0.118341</v>
      </c>
      <c r="AC37" s="2" t="n">
        <v>0.303194</v>
      </c>
      <c r="AD37" s="2" t="n">
        <v>1</v>
      </c>
      <c r="AE37" s="2" t="n">
        <v>0.303194</v>
      </c>
      <c r="AF37" s="2" t="n">
        <v>1.348403</v>
      </c>
      <c r="AG37" s="2" t="inlineStr">
        <is>
          <t>True</t>
        </is>
      </c>
    </row>
    <row r="38">
      <c r="A38" s="2" t="inlineStr">
        <is>
          <t>zane-peucker</t>
        </is>
      </c>
      <c r="B38" s="2" t="inlineStr">
        <is>
          <t>Zane Peucker</t>
        </is>
      </c>
      <c r="C38" s="2" t="inlineStr">
        <is>
          <t>SF</t>
        </is>
      </c>
      <c r="D38" s="2" t="inlineStr">
        <is>
          <t>ND pick 31</t>
        </is>
      </c>
      <c r="E38" s="2" t="n">
        <v>31</v>
      </c>
      <c r="F38" s="2" t="n">
        <v>2025</v>
      </c>
      <c r="G38" s="2" t="inlineStr">
        <is>
          <t>ND</t>
        </is>
      </c>
      <c r="H38" s="2" t="inlineStr">
        <is>
          <t>False</t>
        </is>
      </c>
      <c r="I38" s="2" t="n">
        <v>277</v>
      </c>
      <c r="J38" s="2" t="n">
        <v>287</v>
      </c>
      <c r="K38" s="2" t="n">
        <v>10</v>
      </c>
      <c r="L38" s="2" t="n">
        <v>0.03610108303249097</v>
      </c>
      <c r="M38" s="2" t="n">
        <v>302</v>
      </c>
      <c r="N38" s="2" t="inlineStr">
        <is>
          <t>2026:2g@40.5</t>
        </is>
      </c>
      <c r="O38" s="2" t="n">
        <v>2</v>
      </c>
      <c r="P38" s="2" t="n">
        <v>2</v>
      </c>
      <c r="Q38" s="2" t="n">
        <v>40.5</v>
      </c>
      <c r="R38" s="2" t="n">
        <v>2026</v>
      </c>
      <c r="S38" s="2" t="n">
        <v>2026</v>
      </c>
      <c r="T38" s="2" t="n">
        <v>0</v>
      </c>
      <c r="U38" s="2" t="inlineStr">
        <is>
          <t>-</t>
        </is>
      </c>
      <c r="V38" s="2" t="n">
        <v>0</v>
      </c>
      <c r="W38" s="2" t="n">
        <v>475.58</v>
      </c>
      <c r="X38" s="2" t="n">
        <v>0.70495</v>
      </c>
      <c r="Y38" s="2" t="n">
        <v>2</v>
      </c>
      <c r="Z38" s="2" t="n">
        <v>2.2727</v>
      </c>
      <c r="AA38" s="2" t="n">
        <v>0.507727</v>
      </c>
      <c r="AB38" s="2" t="n">
        <v>0.39202</v>
      </c>
      <c r="AC38" s="2" t="n">
        <v>0.236859</v>
      </c>
      <c r="AD38" s="2" t="n">
        <v>1</v>
      </c>
      <c r="AE38" s="2" t="n">
        <v>0.236859</v>
      </c>
      <c r="AF38" s="2" t="n">
        <v>1.38157</v>
      </c>
      <c r="AG38" s="2" t="inlineStr">
        <is>
          <t>True</t>
        </is>
      </c>
    </row>
    <row r="39">
      <c r="A39" s="2" t="inlineStr">
        <is>
          <t>charlie-edwards</t>
        </is>
      </c>
      <c r="B39" s="2" t="inlineStr">
        <is>
          <t>Charlie Edwards</t>
        </is>
      </c>
      <c r="C39" s="2" t="inlineStr">
        <is>
          <t>MID</t>
        </is>
      </c>
      <c r="D39" s="2" t="inlineStr">
        <is>
          <t>ND pick 21</t>
        </is>
      </c>
      <c r="E39" s="2" t="n">
        <v>21</v>
      </c>
      <c r="F39" s="2" t="n">
        <v>2023</v>
      </c>
      <c r="G39" s="2" t="inlineStr">
        <is>
          <t>ND</t>
        </is>
      </c>
      <c r="H39" s="2" t="inlineStr">
        <is>
          <t>False</t>
        </is>
      </c>
      <c r="I39" s="2" t="n">
        <v>601</v>
      </c>
      <c r="J39" s="2" t="n">
        <v>580</v>
      </c>
      <c r="K39" s="2" t="n">
        <v>-21</v>
      </c>
      <c r="L39" s="2" t="n">
        <v>-0.03494176372712146</v>
      </c>
      <c r="M39" s="2" t="n">
        <v>610</v>
      </c>
      <c r="N39" s="2" t="inlineStr">
        <is>
          <t>2026:2g@47.5</t>
        </is>
      </c>
      <c r="O39" s="2" t="n">
        <v>2</v>
      </c>
      <c r="P39" s="2" t="n">
        <v>2</v>
      </c>
      <c r="Q39" s="2" t="n">
        <v>47.5</v>
      </c>
      <c r="R39" s="2" t="n">
        <v>2024</v>
      </c>
      <c r="S39" s="2" t="n">
        <v>2026</v>
      </c>
      <c r="T39" s="2" t="n">
        <v>2</v>
      </c>
      <c r="U39" s="2" t="inlineStr">
        <is>
          <t>2024,2025</t>
        </is>
      </c>
      <c r="V39" s="2" t="n">
        <v>2</v>
      </c>
      <c r="W39" s="2" t="n">
        <v>1186.98</v>
      </c>
      <c r="X39" s="2" t="n">
        <v>0.45252</v>
      </c>
      <c r="Y39" s="2" t="n">
        <v>2</v>
      </c>
      <c r="Z39" s="2" t="n">
        <v>2.2727</v>
      </c>
      <c r="AA39" s="2" t="n">
        <v>0.507727</v>
      </c>
      <c r="AB39" s="2" t="n">
        <v>0.387041</v>
      </c>
      <c r="AC39" s="2" t="n">
        <v>0.323411</v>
      </c>
      <c r="AD39" s="2" t="n">
        <v>0.615767</v>
      </c>
      <c r="AE39" s="2" t="n">
        <v>0.199146</v>
      </c>
      <c r="AF39" s="2" t="n">
        <v>1.400427</v>
      </c>
      <c r="AG39" s="2" t="inlineStr">
        <is>
          <t>True</t>
        </is>
      </c>
    </row>
    <row r="40">
      <c r="A40" s="2" t="inlineStr">
        <is>
          <t>charlie-banfield</t>
        </is>
      </c>
      <c r="B40" s="2" t="inlineStr">
        <is>
          <t>Charlie Banfield</t>
        </is>
      </c>
      <c r="C40" s="2" t="inlineStr">
        <is>
          <t>MID</t>
        </is>
      </c>
      <c r="D40" s="2" t="inlineStr">
        <is>
          <t>ND pick 41</t>
        </is>
      </c>
      <c r="E40" s="2" t="n">
        <v>41</v>
      </c>
      <c r="F40" s="2" t="n">
        <v>2025</v>
      </c>
      <c r="G40" s="2" t="inlineStr">
        <is>
          <t>ND</t>
        </is>
      </c>
      <c r="H40" s="2" t="inlineStr">
        <is>
          <t>False</t>
        </is>
      </c>
      <c r="I40" s="2" t="n">
        <v>443</v>
      </c>
      <c r="J40" s="2" t="n">
        <v>429</v>
      </c>
      <c r="K40" s="2" t="n">
        <v>-14</v>
      </c>
      <c r="L40" s="2" t="n">
        <v>-0.03160270880361174</v>
      </c>
      <c r="M40" s="2" t="n">
        <v>451</v>
      </c>
      <c r="N40" s="2" t="inlineStr">
        <is>
          <t>2026:3g@54.3</t>
        </is>
      </c>
      <c r="O40" s="2" t="n">
        <v>3</v>
      </c>
      <c r="P40" s="2" t="n">
        <v>3</v>
      </c>
      <c r="Q40" s="2" t="n">
        <v>54.3</v>
      </c>
      <c r="R40" s="2" t="n">
        <v>2026</v>
      </c>
      <c r="S40" s="2" t="n">
        <v>2026</v>
      </c>
      <c r="T40" s="2" t="n">
        <v>0</v>
      </c>
      <c r="U40" s="2" t="inlineStr">
        <is>
          <t>-</t>
        </is>
      </c>
      <c r="V40" s="2" t="n">
        <v>0</v>
      </c>
      <c r="W40" s="2" t="n">
        <v>605.9</v>
      </c>
      <c r="X40" s="2" t="n">
        <v>0.65976</v>
      </c>
      <c r="Y40" s="2" t="n">
        <v>3</v>
      </c>
      <c r="Z40" s="2" t="n">
        <v>3.4091</v>
      </c>
      <c r="AA40" s="2" t="n">
        <v>0.547</v>
      </c>
      <c r="AB40" s="2" t="n">
        <v>0.426453</v>
      </c>
      <c r="AC40" s="2" t="n">
        <v>0.174727</v>
      </c>
      <c r="AD40" s="2" t="n">
        <v>1</v>
      </c>
      <c r="AE40" s="2" t="n">
        <v>0.174727</v>
      </c>
      <c r="AF40" s="2" t="n">
        <v>1.412637</v>
      </c>
      <c r="AG40" s="2" t="inlineStr">
        <is>
          <t>True</t>
        </is>
      </c>
    </row>
    <row r="41">
      <c r="A41" s="2" t="inlineStr">
        <is>
          <t>matt-hill</t>
        </is>
      </c>
      <c r="B41" s="2" t="inlineStr">
        <is>
          <t>Matt Hill</t>
        </is>
      </c>
      <c r="C41" s="2" t="inlineStr">
        <is>
          <t>SF</t>
        </is>
      </c>
      <c r="D41" s="2" t="inlineStr">
        <is>
          <t>UNR (pool, effpk 65)</t>
        </is>
      </c>
      <c r="E41" s="2" t="n">
        <v>65</v>
      </c>
      <c r="F41" s="2" t="n">
        <v>2024</v>
      </c>
      <c r="G41" s="2" t="inlineStr">
        <is>
          <t>UNR</t>
        </is>
      </c>
      <c r="H41" s="2" t="inlineStr">
        <is>
          <t>True</t>
        </is>
      </c>
      <c r="I41" s="2" t="n">
        <v>41</v>
      </c>
      <c r="J41" s="2" t="n">
        <v>42</v>
      </c>
      <c r="K41" s="2" t="n">
        <v>1</v>
      </c>
      <c r="L41" s="2" t="n">
        <v>0.02439024390243903</v>
      </c>
      <c r="M41" s="2" t="n">
        <v>44</v>
      </c>
      <c r="N41" s="2" t="inlineStr">
        <is>
          <t>2026:2g@24.0</t>
        </is>
      </c>
      <c r="O41" s="2" t="n">
        <v>2</v>
      </c>
      <c r="P41" s="2" t="n">
        <v>2</v>
      </c>
      <c r="Q41" s="2" t="n">
        <v>24</v>
      </c>
      <c r="R41" s="2" t="n">
        <v>2025</v>
      </c>
      <c r="S41" s="2" t="n">
        <v>2026</v>
      </c>
      <c r="T41" s="2" t="n">
        <v>1</v>
      </c>
      <c r="U41" s="2" t="n">
        <v>2025</v>
      </c>
      <c r="V41" s="2" t="n">
        <v>1</v>
      </c>
      <c r="W41" s="2" t="n">
        <v>108.4</v>
      </c>
      <c r="X41" s="2" t="n">
        <v>0.41609</v>
      </c>
      <c r="Y41" s="2" t="n">
        <v>2</v>
      </c>
      <c r="Z41" s="2" t="n">
        <v>2.2727</v>
      </c>
      <c r="AA41" s="2" t="n">
        <v>0.507727</v>
      </c>
      <c r="AB41" s="2" t="n">
        <v>0.367707</v>
      </c>
      <c r="AC41" s="2" t="n">
        <v>0.07231899999999999</v>
      </c>
      <c r="AD41" s="2" t="n">
        <v>0.662891</v>
      </c>
      <c r="AE41" s="2" t="n">
        <v>0.04794</v>
      </c>
      <c r="AF41" s="2" t="n">
        <v>1.47603</v>
      </c>
      <c r="AG41" s="2" t="inlineStr">
        <is>
          <t>True</t>
        </is>
      </c>
    </row>
    <row r="42">
      <c r="A42" s="2" t="inlineStr">
        <is>
          <t>jayden-nguyen</t>
        </is>
      </c>
      <c r="B42" s="2" t="inlineStr">
        <is>
          <t>Jayden Nguyen</t>
        </is>
      </c>
      <c r="C42" s="2" t="inlineStr">
        <is>
          <t>SD</t>
        </is>
      </c>
      <c r="D42" s="2" t="inlineStr">
        <is>
          <t>PDN (pool, effpk 65)</t>
        </is>
      </c>
      <c r="E42" s="2" t="n">
        <v>65</v>
      </c>
      <c r="F42" s="2" t="n">
        <v>2024</v>
      </c>
      <c r="G42" s="2" t="inlineStr">
        <is>
          <t>PDN</t>
        </is>
      </c>
      <c r="H42" s="2" t="inlineStr">
        <is>
          <t>True</t>
        </is>
      </c>
      <c r="I42" s="2" t="n">
        <v>267</v>
      </c>
      <c r="J42" s="2" t="n">
        <v>261</v>
      </c>
      <c r="K42" s="2" t="n">
        <v>-6</v>
      </c>
      <c r="L42" s="2" t="n">
        <v>-0.02247191011235955</v>
      </c>
      <c r="M42" s="2" t="n">
        <v>275</v>
      </c>
      <c r="N42" s="2" t="inlineStr">
        <is>
          <t>2025:5g@39.2; 2026:5g@42.6</t>
        </is>
      </c>
      <c r="O42" s="2" t="n">
        <v>10</v>
      </c>
      <c r="P42" s="2" t="n">
        <v>5</v>
      </c>
      <c r="Q42" s="2" t="n">
        <v>42.6</v>
      </c>
      <c r="R42" s="2" t="n">
        <v>2025</v>
      </c>
      <c r="S42" s="2" t="n">
        <v>2025</v>
      </c>
      <c r="T42" s="2" t="n">
        <v>0</v>
      </c>
      <c r="U42" s="2" t="inlineStr">
        <is>
          <t>-</t>
        </is>
      </c>
      <c r="V42" s="2" t="n">
        <v>0</v>
      </c>
      <c r="W42" s="2" t="n">
        <v>129.45</v>
      </c>
      <c r="X42" s="2" t="n">
        <v>0.41609</v>
      </c>
      <c r="Y42" s="2" t="n">
        <v>5</v>
      </c>
      <c r="Z42" s="2" t="n">
        <v>5.6818</v>
      </c>
      <c r="AA42" s="2" t="n">
        <v>0.941455</v>
      </c>
      <c r="AB42" s="2" t="n">
        <v>0.914802</v>
      </c>
      <c r="AC42" s="2" t="n">
        <v>0.07231899999999999</v>
      </c>
      <c r="AD42" s="2" t="n">
        <v>0.662891</v>
      </c>
      <c r="AE42" s="2" t="n">
        <v>0.04794</v>
      </c>
      <c r="AF42" s="2" t="n">
        <v>1.47603</v>
      </c>
      <c r="AG42" s="2" t="inlineStr">
        <is>
          <t>True</t>
        </is>
      </c>
    </row>
    <row r="43">
      <c r="A43" s="2" t="inlineStr">
        <is>
          <t>charlie-west</t>
        </is>
      </c>
      <c r="B43" s="2" t="inlineStr">
        <is>
          <t>Charlie West</t>
        </is>
      </c>
      <c r="C43" s="2" t="inlineStr">
        <is>
          <t>KPF</t>
        </is>
      </c>
      <c r="D43" s="2" t="inlineStr">
        <is>
          <t>ND pick 50</t>
        </is>
      </c>
      <c r="E43" s="2" t="n">
        <v>50</v>
      </c>
      <c r="F43" s="2" t="n">
        <v>2024</v>
      </c>
      <c r="G43" s="2" t="inlineStr">
        <is>
          <t>ND</t>
        </is>
      </c>
      <c r="H43" s="2" t="inlineStr">
        <is>
          <t>False</t>
        </is>
      </c>
      <c r="I43" s="2" t="n">
        <v>548</v>
      </c>
      <c r="J43" s="2" t="n">
        <v>536</v>
      </c>
      <c r="K43" s="2" t="n">
        <v>-12</v>
      </c>
      <c r="L43" s="2" t="n">
        <v>-0.0218978102189781</v>
      </c>
      <c r="M43" s="2" t="n">
        <v>564</v>
      </c>
      <c r="N43" s="2" t="inlineStr">
        <is>
          <t>2025:1g@27.0; 2026:5g@34.2</t>
        </is>
      </c>
      <c r="O43" s="2" t="n">
        <v>6</v>
      </c>
      <c r="P43" s="2" t="n">
        <v>5</v>
      </c>
      <c r="Q43" s="2" t="n">
        <v>34.2</v>
      </c>
      <c r="R43" s="2" t="n">
        <v>2025</v>
      </c>
      <c r="S43" s="2" t="n">
        <v>2025</v>
      </c>
      <c r="T43" s="2" t="n">
        <v>0</v>
      </c>
      <c r="U43" s="2" t="inlineStr">
        <is>
          <t>-</t>
        </is>
      </c>
      <c r="V43" s="2" t="n">
        <v>0</v>
      </c>
      <c r="W43" s="2" t="n">
        <v>225.67</v>
      </c>
      <c r="X43" s="2" t="n">
        <v>0.448</v>
      </c>
      <c r="Y43" s="2" t="n">
        <v>5</v>
      </c>
      <c r="Z43" s="2" t="n">
        <v>5.6818</v>
      </c>
      <c r="AA43" s="2" t="n">
        <v>0.941455</v>
      </c>
      <c r="AB43" s="2" t="n">
        <v>0.915772</v>
      </c>
      <c r="AC43" s="2" t="n">
        <v>0.130625</v>
      </c>
      <c r="AD43" s="2" t="n">
        <v>0.635949</v>
      </c>
      <c r="AE43" s="2" t="n">
        <v>0.08307100000000001</v>
      </c>
      <c r="AF43" s="2" t="n">
        <v>1.458465</v>
      </c>
      <c r="AG43" s="2" t="inlineStr">
        <is>
          <t>True</t>
        </is>
      </c>
    </row>
    <row r="44">
      <c r="A44" s="2" t="inlineStr">
        <is>
          <t>jaxon-artemis</t>
        </is>
      </c>
      <c r="B44" s="2" t="inlineStr">
        <is>
          <t>Jaxon Artemis</t>
        </is>
      </c>
      <c r="C44" s="2" t="inlineStr">
        <is>
          <t>SD</t>
        </is>
      </c>
      <c r="D44" s="2" t="inlineStr">
        <is>
          <t>MSD (pool, effpk 65)</t>
        </is>
      </c>
      <c r="E44" s="2" t="n">
        <v>65</v>
      </c>
      <c r="F44" s="2" t="n">
        <v>2026</v>
      </c>
      <c r="G44" s="2" t="inlineStr">
        <is>
          <t>MSD</t>
        </is>
      </c>
      <c r="H44" s="2" t="inlineStr">
        <is>
          <t>True</t>
        </is>
      </c>
      <c r="I44" s="2" t="n">
        <v>197</v>
      </c>
      <c r="J44" s="2" t="n">
        <v>193</v>
      </c>
      <c r="K44" s="2" t="n">
        <v>-4</v>
      </c>
      <c r="L44" s="2" t="n">
        <v>-0.02030456852791878</v>
      </c>
      <c r="M44" s="2" t="n">
        <v>203</v>
      </c>
      <c r="N44" s="2" t="inlineStr">
        <is>
          <t>2026:3g@53.0</t>
        </is>
      </c>
      <c r="O44" s="2" t="n">
        <v>3</v>
      </c>
      <c r="P44" s="2" t="n">
        <v>3</v>
      </c>
      <c r="Q44" s="2" t="n">
        <v>53</v>
      </c>
      <c r="R44" s="2" t="n">
        <v>2026</v>
      </c>
      <c r="S44" s="2" t="n">
        <v>2026</v>
      </c>
      <c r="T44" s="2" t="n">
        <v>0</v>
      </c>
      <c r="U44" s="2" t="inlineStr">
        <is>
          <t>-</t>
        </is>
      </c>
      <c r="V44" s="2" t="n">
        <v>0</v>
      </c>
      <c r="W44" s="2" t="n">
        <v>300.99</v>
      </c>
      <c r="X44" s="2" t="n">
        <v>0.62769</v>
      </c>
      <c r="Y44" s="2" t="n">
        <v>3</v>
      </c>
      <c r="Z44" s="2" t="n">
        <v>3.4091</v>
      </c>
      <c r="AA44" s="2" t="n">
        <v>0.547</v>
      </c>
      <c r="AB44" s="2" t="n">
        <v>0.413481</v>
      </c>
      <c r="AC44" s="2" t="n">
        <v>0.07231899999999999</v>
      </c>
      <c r="AD44" s="2" t="n">
        <v>1</v>
      </c>
      <c r="AE44" s="2" t="n">
        <v>0.07231899999999999</v>
      </c>
      <c r="AF44" s="2" t="n">
        <v>1.46384</v>
      </c>
      <c r="AG44" s="2" t="inlineStr">
        <is>
          <t>True</t>
        </is>
      </c>
    </row>
    <row r="45">
      <c r="A45" s="2" t="inlineStr">
        <is>
          <t>riley-hamilton</t>
        </is>
      </c>
      <c r="B45" s="2" t="inlineStr">
        <is>
          <t>Riley Hamilton</t>
        </is>
      </c>
      <c r="C45" s="2" t="inlineStr">
        <is>
          <t>SF</t>
        </is>
      </c>
      <c r="D45" s="2" t="inlineStr">
        <is>
          <t>PDA (pool, effpk 65)</t>
        </is>
      </c>
      <c r="E45" s="2" t="n">
        <v>65</v>
      </c>
      <c r="F45" s="2" t="n">
        <v>2025</v>
      </c>
      <c r="G45" s="2" t="inlineStr">
        <is>
          <t>PDA</t>
        </is>
      </c>
      <c r="H45" s="2" t="inlineStr">
        <is>
          <t>True</t>
        </is>
      </c>
      <c r="I45" s="2" t="n">
        <v>225</v>
      </c>
      <c r="J45" s="2" t="n">
        <v>221</v>
      </c>
      <c r="K45" s="2" t="n">
        <v>-4</v>
      </c>
      <c r="L45" s="2" t="n">
        <v>-0.01777777777777778</v>
      </c>
      <c r="M45" s="2" t="n">
        <v>233</v>
      </c>
      <c r="N45" s="2" t="inlineStr">
        <is>
          <t>2026:5g@36.0</t>
        </is>
      </c>
      <c r="O45" s="2" t="n">
        <v>5</v>
      </c>
      <c r="P45" s="2" t="n">
        <v>5</v>
      </c>
      <c r="Q45" s="2" t="n">
        <v>36</v>
      </c>
      <c r="R45" s="2" t="n">
        <v>2026</v>
      </c>
      <c r="S45" s="2" t="n">
        <v>2026</v>
      </c>
      <c r="T45" s="2" t="n">
        <v>0</v>
      </c>
      <c r="U45" s="2" t="inlineStr">
        <is>
          <t>-</t>
        </is>
      </c>
      <c r="V45" s="2" t="n">
        <v>0</v>
      </c>
      <c r="W45" s="2" t="n">
        <v>204.17</v>
      </c>
      <c r="X45" s="2" t="n">
        <v>0.62769</v>
      </c>
      <c r="Y45" s="2" t="n">
        <v>5</v>
      </c>
      <c r="Z45" s="2" t="n">
        <v>5.6818</v>
      </c>
      <c r="AA45" s="2" t="n">
        <v>0.941455</v>
      </c>
      <c r="AB45" s="2" t="n">
        <v>0.915475</v>
      </c>
      <c r="AC45" s="2" t="n">
        <v>0.07231899999999999</v>
      </c>
      <c r="AD45" s="2" t="n">
        <v>1</v>
      </c>
      <c r="AE45" s="2" t="n">
        <v>0.07231899999999999</v>
      </c>
      <c r="AF45" s="2" t="n">
        <v>1.46384</v>
      </c>
      <c r="AG45" s="2" t="inlineStr">
        <is>
          <t>True</t>
        </is>
      </c>
    </row>
    <row r="46">
      <c r="A46" s="2" t="inlineStr">
        <is>
          <t>jack-ough</t>
        </is>
      </c>
      <c r="B46" s="2" t="inlineStr">
        <is>
          <t>Jack Ough</t>
        </is>
      </c>
      <c r="C46" s="2" t="inlineStr">
        <is>
          <t>MID</t>
        </is>
      </c>
      <c r="D46" s="2" t="inlineStr">
        <is>
          <t>ND pick 36</t>
        </is>
      </c>
      <c r="E46" s="2" t="n">
        <v>36</v>
      </c>
      <c r="F46" s="2" t="n">
        <v>2024</v>
      </c>
      <c r="G46" s="2" t="inlineStr">
        <is>
          <t>ND</t>
        </is>
      </c>
      <c r="H46" s="2" t="inlineStr">
        <is>
          <t>False</t>
        </is>
      </c>
      <c r="I46" s="2" t="n">
        <v>504</v>
      </c>
      <c r="J46" s="2" t="n">
        <v>498</v>
      </c>
      <c r="K46" s="2" t="n">
        <v>-6</v>
      </c>
      <c r="L46" s="2" t="n">
        <v>-0.0119047619047619</v>
      </c>
      <c r="M46" s="2" t="n">
        <v>524</v>
      </c>
      <c r="N46" s="2" t="inlineStr">
        <is>
          <t>2026:5g@46.0</t>
        </is>
      </c>
      <c r="O46" s="2" t="n">
        <v>5</v>
      </c>
      <c r="P46" s="2" t="n">
        <v>5</v>
      </c>
      <c r="Q46" s="2" t="n">
        <v>46</v>
      </c>
      <c r="R46" s="2" t="n">
        <v>2025</v>
      </c>
      <c r="S46" s="2" t="n">
        <v>2026</v>
      </c>
      <c r="T46" s="2" t="n">
        <v>1</v>
      </c>
      <c r="U46" s="2" t="n">
        <v>2025</v>
      </c>
      <c r="V46" s="2" t="n">
        <v>1</v>
      </c>
      <c r="W46" s="2" t="n">
        <v>686.79</v>
      </c>
      <c r="X46" s="2" t="n">
        <v>0.4528</v>
      </c>
      <c r="Y46" s="2" t="n">
        <v>5</v>
      </c>
      <c r="Z46" s="2" t="n">
        <v>5.6818</v>
      </c>
      <c r="AA46" s="2" t="n">
        <v>0.941455</v>
      </c>
      <c r="AB46" s="2" t="n">
        <v>0.91722</v>
      </c>
      <c r="AC46" s="2" t="n">
        <v>0.203629</v>
      </c>
      <c r="AD46" s="2" t="n">
        <v>0.665112</v>
      </c>
      <c r="AE46" s="2" t="n">
        <v>0.135436</v>
      </c>
      <c r="AF46" s="2" t="n">
        <v>1.432282</v>
      </c>
      <c r="AG46" s="2" t="inlineStr">
        <is>
          <t>True</t>
        </is>
      </c>
    </row>
    <row r="47">
      <c r="A47" s="2" t="inlineStr">
        <is>
          <t>thomas-burton</t>
        </is>
      </c>
      <c r="B47" s="2" t="inlineStr">
        <is>
          <t>Thomas Burton</t>
        </is>
      </c>
      <c r="C47" s="2" t="inlineStr">
        <is>
          <t>SF</t>
        </is>
      </c>
      <c r="D47" s="2" t="inlineStr">
        <is>
          <t>SSP (pool, effpk 65)</t>
        </is>
      </c>
      <c r="E47" s="2" t="n">
        <v>65</v>
      </c>
      <c r="F47" s="2" t="n">
        <v>2025</v>
      </c>
      <c r="G47" s="2" t="inlineStr">
        <is>
          <t>SSP</t>
        </is>
      </c>
      <c r="H47" s="2" t="inlineStr">
        <is>
          <t>True</t>
        </is>
      </c>
      <c r="I47" s="2" t="n">
        <v>271</v>
      </c>
      <c r="J47" s="2" t="n">
        <v>268</v>
      </c>
      <c r="K47" s="2" t="n">
        <v>-3</v>
      </c>
      <c r="L47" s="2" t="n">
        <v>-0.01107011070110701</v>
      </c>
      <c r="M47" s="2" t="n">
        <v>282</v>
      </c>
      <c r="N47" s="2" t="inlineStr">
        <is>
          <t>2026:5g@39.4</t>
        </is>
      </c>
      <c r="O47" s="2" t="n">
        <v>5</v>
      </c>
      <c r="P47" s="2" t="n">
        <v>5</v>
      </c>
      <c r="Q47" s="2" t="n">
        <v>39.4</v>
      </c>
      <c r="R47" s="2" t="n">
        <v>2026</v>
      </c>
      <c r="S47" s="2" t="n">
        <v>2026</v>
      </c>
      <c r="T47" s="2" t="n">
        <v>0</v>
      </c>
      <c r="U47" s="2" t="inlineStr">
        <is>
          <t>-</t>
        </is>
      </c>
      <c r="V47" s="2" t="n">
        <v>0</v>
      </c>
      <c r="W47" s="2" t="n">
        <v>265.2</v>
      </c>
      <c r="X47" s="2" t="n">
        <v>0.62769</v>
      </c>
      <c r="Y47" s="2" t="n">
        <v>5</v>
      </c>
      <c r="Z47" s="2" t="n">
        <v>5.6818</v>
      </c>
      <c r="AA47" s="2" t="n">
        <v>0.941455</v>
      </c>
      <c r="AB47" s="2" t="n">
        <v>0.915475</v>
      </c>
      <c r="AC47" s="2" t="n">
        <v>0.07231899999999999</v>
      </c>
      <c r="AD47" s="2" t="n">
        <v>1</v>
      </c>
      <c r="AE47" s="2" t="n">
        <v>0.07231899999999999</v>
      </c>
      <c r="AF47" s="2" t="n">
        <v>1.46384</v>
      </c>
      <c r="AG47" s="2" t="inlineStr">
        <is>
          <t>True</t>
        </is>
      </c>
    </row>
    <row r="48">
      <c r="A48" s="2" t="inlineStr">
        <is>
          <t>henry-hustwaite</t>
        </is>
      </c>
      <c r="B48" s="2" t="inlineStr">
        <is>
          <t>Henry Hustwaite</t>
        </is>
      </c>
      <c r="C48" s="2" t="inlineStr">
        <is>
          <t>MID</t>
        </is>
      </c>
      <c r="D48" s="2" t="inlineStr">
        <is>
          <t>ND pick 37</t>
        </is>
      </c>
      <c r="E48" s="2" t="n">
        <v>37</v>
      </c>
      <c r="F48" s="2" t="n">
        <v>2022</v>
      </c>
      <c r="G48" s="2" t="inlineStr">
        <is>
          <t>ND</t>
        </is>
      </c>
      <c r="H48" s="2" t="inlineStr">
        <is>
          <t>False</t>
        </is>
      </c>
      <c r="I48" s="2" t="n">
        <v>218</v>
      </c>
      <c r="J48" s="2" t="n">
        <v>220</v>
      </c>
      <c r="K48" s="2" t="n">
        <v>2</v>
      </c>
      <c r="L48" s="2" t="n">
        <v>0.009174311926605505</v>
      </c>
      <c r="M48" s="2" t="n">
        <v>232</v>
      </c>
      <c r="N48" s="2" t="inlineStr">
        <is>
          <t>2023:2g@66.0; 2024:4g@25.0; 2025:4g@46.2; 2026:1g@59.0</t>
        </is>
      </c>
      <c r="O48" s="2" t="n">
        <v>11</v>
      </c>
      <c r="P48" s="2" t="n">
        <v>4</v>
      </c>
      <c r="Q48" s="2" t="n">
        <v>66</v>
      </c>
      <c r="R48" s="2" t="n">
        <v>2023</v>
      </c>
      <c r="S48" s="2" t="n">
        <v>2023</v>
      </c>
      <c r="T48" s="2" t="n">
        <v>0</v>
      </c>
      <c r="U48" s="2" t="inlineStr">
        <is>
          <t>-</t>
        </is>
      </c>
      <c r="V48" s="2" t="n">
        <v>0</v>
      </c>
      <c r="W48" s="2" t="n">
        <v>669.29</v>
      </c>
      <c r="X48" s="2" t="n">
        <v>0.35057</v>
      </c>
      <c r="Y48" s="2" t="n">
        <v>1</v>
      </c>
      <c r="Z48" s="2" t="n">
        <v>1.1364</v>
      </c>
      <c r="AA48" s="2" t="n">
        <v>0.205409</v>
      </c>
      <c r="AB48" s="2" t="n">
        <v>0.100953</v>
      </c>
      <c r="AC48" s="2" t="n">
        <v>0.19754</v>
      </c>
      <c r="AD48" s="2" t="n">
        <v>0.518323</v>
      </c>
      <c r="AE48" s="2" t="n">
        <v>0.102389</v>
      </c>
      <c r="AF48" s="2" t="n">
        <v>1.448805</v>
      </c>
      <c r="AG48" s="2" t="inlineStr">
        <is>
          <t>True</t>
        </is>
      </c>
    </row>
    <row r="49">
      <c r="A49" s="2" t="inlineStr">
        <is>
          <t>oliver-hannaford</t>
        </is>
      </c>
      <c r="B49" s="2" t="inlineStr">
        <is>
          <t>Oliver Hannaford</t>
        </is>
      </c>
      <c r="C49" s="2" t="inlineStr">
        <is>
          <t>SF</t>
        </is>
      </c>
      <c r="D49" s="2" t="inlineStr">
        <is>
          <t>ND pick 18</t>
        </is>
      </c>
      <c r="E49" s="2" t="n">
        <v>18</v>
      </c>
      <c r="F49" s="2" t="n">
        <v>2024</v>
      </c>
      <c r="G49" s="2" t="inlineStr">
        <is>
          <t>ND</t>
        </is>
      </c>
      <c r="H49" s="2" t="inlineStr">
        <is>
          <t>False</t>
        </is>
      </c>
      <c r="I49" s="2" t="n">
        <v>307</v>
      </c>
      <c r="J49" s="2" t="n">
        <v>309</v>
      </c>
      <c r="K49" s="2" t="n">
        <v>2</v>
      </c>
      <c r="L49" s="2" t="n">
        <v>0.006514657980456026</v>
      </c>
      <c r="M49" s="2" t="n">
        <v>325</v>
      </c>
      <c r="N49" s="2" t="inlineStr">
        <is>
          <t>2026:5g@28.2</t>
        </is>
      </c>
      <c r="O49" s="2" t="n">
        <v>5</v>
      </c>
      <c r="P49" s="2" t="n">
        <v>5</v>
      </c>
      <c r="Q49" s="2" t="n">
        <v>28.2</v>
      </c>
      <c r="R49" s="2" t="n">
        <v>2025</v>
      </c>
      <c r="S49" s="2" t="n">
        <v>2026</v>
      </c>
      <c r="T49" s="2" t="n">
        <v>1</v>
      </c>
      <c r="U49" s="2" t="n">
        <v>2025</v>
      </c>
      <c r="V49" s="2" t="n">
        <v>1</v>
      </c>
      <c r="W49" s="2" t="n">
        <v>791.8200000000001</v>
      </c>
      <c r="X49" s="2" t="n">
        <v>0.50678</v>
      </c>
      <c r="Y49" s="2" t="n">
        <v>5</v>
      </c>
      <c r="Z49" s="2" t="n">
        <v>5.6818</v>
      </c>
      <c r="AA49" s="2" t="n">
        <v>0.941455</v>
      </c>
      <c r="AB49" s="2" t="n">
        <v>0.920204</v>
      </c>
      <c r="AC49" s="2" t="n">
        <v>0.357668</v>
      </c>
      <c r="AD49" s="2" t="n">
        <v>0.679763</v>
      </c>
      <c r="AE49" s="2" t="n">
        <v>0.243129</v>
      </c>
      <c r="AF49" s="2" t="n">
        <v>1.378435</v>
      </c>
      <c r="AG49" s="2" t="inlineStr">
        <is>
          <t>True</t>
        </is>
      </c>
    </row>
    <row r="50">
      <c r="A50" s="2" t="inlineStr">
        <is>
          <t>samuel-swadling</t>
        </is>
      </c>
      <c r="B50" s="2" t="inlineStr">
        <is>
          <t>Samuel Swadling</t>
        </is>
      </c>
      <c r="C50" s="2" t="inlineStr">
        <is>
          <t>MID</t>
        </is>
      </c>
      <c r="D50" s="2" t="inlineStr">
        <is>
          <t>ND pick 37</t>
        </is>
      </c>
      <c r="E50" s="2" t="n">
        <v>37</v>
      </c>
      <c r="F50" s="2" t="n">
        <v>2025</v>
      </c>
      <c r="G50" s="2" t="inlineStr">
        <is>
          <t>ND</t>
        </is>
      </c>
      <c r="H50" s="2" t="inlineStr">
        <is>
          <t>False</t>
        </is>
      </c>
      <c r="I50" s="2" t="n">
        <v>642</v>
      </c>
      <c r="J50" s="2" t="n">
        <v>638</v>
      </c>
      <c r="K50" s="2" t="n">
        <v>-4</v>
      </c>
      <c r="L50" s="2" t="n">
        <v>-0.006230529595015576</v>
      </c>
      <c r="M50" s="2" t="n">
        <v>671</v>
      </c>
      <c r="N50" s="2" t="inlineStr">
        <is>
          <t>2026:5g@59.0</t>
        </is>
      </c>
      <c r="O50" s="2" t="n">
        <v>5</v>
      </c>
      <c r="P50" s="2" t="n">
        <v>5</v>
      </c>
      <c r="Q50" s="2" t="n">
        <v>59</v>
      </c>
      <c r="R50" s="2" t="n">
        <v>2026</v>
      </c>
      <c r="S50" s="2" t="n">
        <v>2026</v>
      </c>
      <c r="T50" s="2" t="n">
        <v>0</v>
      </c>
      <c r="U50" s="2" t="inlineStr">
        <is>
          <t>-</t>
        </is>
      </c>
      <c r="V50" s="2" t="n">
        <v>0</v>
      </c>
      <c r="W50" s="2" t="n">
        <v>669.29</v>
      </c>
      <c r="X50" s="2" t="n">
        <v>0.67635</v>
      </c>
      <c r="Y50" s="2" t="n">
        <v>5</v>
      </c>
      <c r="Z50" s="2" t="n">
        <v>5.6818</v>
      </c>
      <c r="AA50" s="2" t="n">
        <v>0.941455</v>
      </c>
      <c r="AB50" s="2" t="n">
        <v>0.918939</v>
      </c>
      <c r="AC50" s="2" t="n">
        <v>0.19754</v>
      </c>
      <c r="AD50" s="2" t="n">
        <v>1</v>
      </c>
      <c r="AE50" s="2" t="n">
        <v>0.19754</v>
      </c>
      <c r="AF50" s="2" t="n">
        <v>1.40123</v>
      </c>
      <c r="AG50" s="2" t="inlineStr">
        <is>
          <t>True</t>
        </is>
      </c>
    </row>
    <row r="51">
      <c r="A51" s="2" t="inlineStr">
        <is>
          <t>dylan-patterson</t>
        </is>
      </c>
      <c r="B51" s="2" t="inlineStr">
        <is>
          <t>Dylan Patterson</t>
        </is>
      </c>
      <c r="C51" s="2" t="inlineStr">
        <is>
          <t>SD</t>
        </is>
      </c>
      <c r="D51" s="2" t="inlineStr">
        <is>
          <t>ND pick 5</t>
        </is>
      </c>
      <c r="E51" s="2" t="n">
        <v>5</v>
      </c>
      <c r="F51" s="2" t="n">
        <v>2025</v>
      </c>
      <c r="G51" s="2" t="inlineStr">
        <is>
          <t>ND</t>
        </is>
      </c>
      <c r="H51" s="2" t="inlineStr">
        <is>
          <t>False</t>
        </is>
      </c>
      <c r="I51" s="2" t="n">
        <v>1429</v>
      </c>
      <c r="J51" s="2" t="n">
        <v>1422</v>
      </c>
      <c r="K51" s="2" t="n">
        <v>-7</v>
      </c>
      <c r="L51" s="2" t="n">
        <v>-0.00489853044086774</v>
      </c>
      <c r="M51" s="2" t="n">
        <v>1496</v>
      </c>
      <c r="N51" s="2" t="inlineStr">
        <is>
          <t>2026:5g@35.6</t>
        </is>
      </c>
      <c r="O51" s="2" t="n">
        <v>5</v>
      </c>
      <c r="P51" s="2" t="n">
        <v>5</v>
      </c>
      <c r="Q51" s="2" t="n">
        <v>35.6</v>
      </c>
      <c r="R51" s="2" t="n">
        <v>2026</v>
      </c>
      <c r="S51" s="2" t="n">
        <v>2026</v>
      </c>
      <c r="T51" s="2" t="n">
        <v>0</v>
      </c>
      <c r="U51" s="2" t="inlineStr">
        <is>
          <t>-</t>
        </is>
      </c>
      <c r="V51" s="2" t="n">
        <v>0</v>
      </c>
      <c r="W51" s="2" t="n">
        <v>1189.99</v>
      </c>
      <c r="X51" s="2" t="n">
        <v>0.62604</v>
      </c>
      <c r="Y51" s="2" t="n">
        <v>5</v>
      </c>
      <c r="Z51" s="2" t="n">
        <v>5.6818</v>
      </c>
      <c r="AA51" s="2" t="n">
        <v>0.941455</v>
      </c>
      <c r="AB51" s="2" t="n">
        <v>0.931352</v>
      </c>
      <c r="AC51" s="2" t="n">
        <v>0.642332</v>
      </c>
      <c r="AD51" s="2" t="n">
        <v>1</v>
      </c>
      <c r="AE51" s="2" t="n">
        <v>0.642332</v>
      </c>
      <c r="AF51" s="2" t="n">
        <v>1.178834</v>
      </c>
      <c r="AG51" s="2" t="inlineStr">
        <is>
          <t>True</t>
        </is>
      </c>
    </row>
    <row r="52">
      <c r="A52" s="2" t="inlineStr">
        <is>
          <t>daniel-annable</t>
        </is>
      </c>
      <c r="B52" s="2" t="inlineStr">
        <is>
          <t>Daniel Annable</t>
        </is>
      </c>
      <c r="C52" s="2" t="inlineStr">
        <is>
          <t>MID</t>
        </is>
      </c>
      <c r="D52" s="2" t="inlineStr">
        <is>
          <t>ND pick 6</t>
        </is>
      </c>
      <c r="E52" s="2" t="n">
        <v>6</v>
      </c>
      <c r="F52" s="2" t="n">
        <v>2025</v>
      </c>
      <c r="G52" s="2" t="inlineStr">
        <is>
          <t>ND</t>
        </is>
      </c>
      <c r="H52" s="2" t="inlineStr">
        <is>
          <t>False</t>
        </is>
      </c>
      <c r="I52" s="2" t="n">
        <v>1243</v>
      </c>
      <c r="J52" s="2" t="n">
        <v>1237</v>
      </c>
      <c r="K52" s="2" t="n">
        <v>-6</v>
      </c>
      <c r="L52" s="2" t="n">
        <v>-0.004827031375703942</v>
      </c>
      <c r="M52" s="2" t="n">
        <v>1302</v>
      </c>
      <c r="N52" s="2" t="inlineStr">
        <is>
          <t>2026:1g@40.0</t>
        </is>
      </c>
      <c r="O52" s="2" t="n">
        <v>1</v>
      </c>
      <c r="P52" s="2" t="n">
        <v>1</v>
      </c>
      <c r="Q52" s="2" t="n">
        <v>40</v>
      </c>
      <c r="R52" s="2" t="n">
        <v>2026</v>
      </c>
      <c r="S52" s="2" t="n">
        <v>2026</v>
      </c>
      <c r="T52" s="2" t="n">
        <v>0</v>
      </c>
      <c r="U52" s="2" t="inlineStr">
        <is>
          <t>-</t>
        </is>
      </c>
      <c r="V52" s="2" t="n">
        <v>0</v>
      </c>
      <c r="W52" s="2" t="n">
        <v>1981.31</v>
      </c>
      <c r="X52" s="2" t="n">
        <v>0.64796</v>
      </c>
      <c r="Y52" s="2" t="n">
        <v>1</v>
      </c>
      <c r="Z52" s="2" t="n">
        <v>1.1364</v>
      </c>
      <c r="AA52" s="2" t="n">
        <v>0.205409</v>
      </c>
      <c r="AB52" s="2" t="n">
        <v>0.149888</v>
      </c>
      <c r="AC52" s="2" t="n">
        <v>0.601814</v>
      </c>
      <c r="AD52" s="2" t="n">
        <v>1</v>
      </c>
      <c r="AE52" s="2" t="n">
        <v>0.601814</v>
      </c>
      <c r="AF52" s="2" t="n">
        <v>1.199093</v>
      </c>
      <c r="AG52" s="2" t="inlineStr">
        <is>
          <t>True</t>
        </is>
      </c>
    </row>
    <row r="53">
      <c r="A53" s="2" t="inlineStr">
        <is>
          <t>jack-dalton</t>
        </is>
      </c>
      <c r="B53" s="2" t="inlineStr">
        <is>
          <t>Jack Dalton</t>
        </is>
      </c>
      <c r="C53" s="2" t="inlineStr">
        <is>
          <t>SF</t>
        </is>
      </c>
      <c r="D53" s="2" t="inlineStr">
        <is>
          <t>ND pick 34</t>
        </is>
      </c>
      <c r="E53" s="2" t="n">
        <v>34</v>
      </c>
      <c r="F53" s="2" t="n">
        <v>2025</v>
      </c>
      <c r="G53" s="2" t="inlineStr">
        <is>
          <t>ND</t>
        </is>
      </c>
      <c r="H53" s="2" t="inlineStr">
        <is>
          <t>False</t>
        </is>
      </c>
      <c r="I53" s="2" t="n">
        <v>271</v>
      </c>
      <c r="J53" s="2" t="n">
        <v>272</v>
      </c>
      <c r="K53" s="2" t="n">
        <v>1</v>
      </c>
      <c r="L53" s="2" t="n">
        <v>0.003690036900369004</v>
      </c>
      <c r="M53" s="2" t="n">
        <v>286</v>
      </c>
      <c r="N53" s="2" t="inlineStr">
        <is>
          <t>2026:4g@53.5</t>
        </is>
      </c>
      <c r="O53" s="2" t="n">
        <v>4</v>
      </c>
      <c r="P53" s="2" t="n">
        <v>4</v>
      </c>
      <c r="Q53" s="2" t="n">
        <v>53.5</v>
      </c>
      <c r="R53" s="2" t="n">
        <v>2026</v>
      </c>
      <c r="S53" s="2" t="n">
        <v>2026</v>
      </c>
      <c r="T53" s="2" t="n">
        <v>0</v>
      </c>
      <c r="U53" s="2" t="inlineStr">
        <is>
          <t>-</t>
        </is>
      </c>
      <c r="V53" s="2" t="n">
        <v>0</v>
      </c>
      <c r="W53" s="2" t="n">
        <v>423.77</v>
      </c>
      <c r="X53" s="2" t="n">
        <v>0.69002</v>
      </c>
      <c r="Y53" s="2" t="n">
        <v>4</v>
      </c>
      <c r="Z53" s="2" t="n">
        <v>4.5455</v>
      </c>
      <c r="AA53" s="2" t="n">
        <v>0.693727</v>
      </c>
      <c r="AB53" s="2" t="n">
        <v>0.60112</v>
      </c>
      <c r="AC53" s="2" t="n">
        <v>0.216331</v>
      </c>
      <c r="AD53" s="2" t="n">
        <v>1</v>
      </c>
      <c r="AE53" s="2" t="n">
        <v>0.216331</v>
      </c>
      <c r="AF53" s="2" t="n">
        <v>1.391834</v>
      </c>
      <c r="AG53" s="2" t="inlineStr">
        <is>
          <t>True</t>
        </is>
      </c>
    </row>
    <row r="54">
      <c r="A54" s="2" t="inlineStr">
        <is>
          <t>james-leake</t>
        </is>
      </c>
      <c r="B54" s="2" t="inlineStr">
        <is>
          <t>James Leake</t>
        </is>
      </c>
      <c r="C54" s="2" t="inlineStr">
        <is>
          <t>SD</t>
        </is>
      </c>
      <c r="D54" s="2" t="inlineStr">
        <is>
          <t>ND pick 17</t>
        </is>
      </c>
      <c r="E54" s="2" t="n">
        <v>17</v>
      </c>
      <c r="F54" s="2" t="n">
        <v>2023</v>
      </c>
      <c r="G54" s="2" t="inlineStr">
        <is>
          <t>ND</t>
        </is>
      </c>
      <c r="H54" s="2" t="inlineStr">
        <is>
          <t>False</t>
        </is>
      </c>
      <c r="I54" s="2" t="n">
        <v>408</v>
      </c>
      <c r="J54" s="2" t="n">
        <v>407</v>
      </c>
      <c r="K54" s="2" t="n">
        <v>-1</v>
      </c>
      <c r="L54" s="2" t="n">
        <v>-0.002450980392156863</v>
      </c>
      <c r="M54" s="2" t="n">
        <v>428</v>
      </c>
      <c r="N54" s="2" t="inlineStr">
        <is>
          <t>2025:3g@39.0; 2026:5g@53.6</t>
        </is>
      </c>
      <c r="O54" s="2" t="n">
        <v>8</v>
      </c>
      <c r="P54" s="2" t="n">
        <v>5</v>
      </c>
      <c r="Q54" s="2" t="n">
        <v>53.6</v>
      </c>
      <c r="R54" s="2" t="n">
        <v>2024</v>
      </c>
      <c r="S54" s="2" t="n">
        <v>2025</v>
      </c>
      <c r="T54" s="2" t="n">
        <v>1</v>
      </c>
      <c r="U54" s="2" t="n">
        <v>2024</v>
      </c>
      <c r="V54" s="2" t="n">
        <v>1</v>
      </c>
      <c r="W54" s="2" t="n">
        <v>837.16</v>
      </c>
      <c r="X54" s="2" t="n">
        <v>0.46915</v>
      </c>
      <c r="Y54" s="2" t="n">
        <v>5</v>
      </c>
      <c r="Z54" s="2" t="n">
        <v>5.6818</v>
      </c>
      <c r="AA54" s="2" t="n">
        <v>0.941455</v>
      </c>
      <c r="AB54" s="2" t="n">
        <v>0.919891</v>
      </c>
      <c r="AC54" s="2" t="n">
        <v>0.37037</v>
      </c>
      <c r="AD54" s="2" t="n">
        <v>0.625966</v>
      </c>
      <c r="AE54" s="2" t="n">
        <v>0.231839</v>
      </c>
      <c r="AF54" s="2" t="n">
        <v>1.38408</v>
      </c>
      <c r="AG54" s="2" t="inlineStr">
        <is>
          <t>True</t>
        </is>
      </c>
    </row>
    <row r="55">
      <c r="A55" s="2" t="inlineStr">
        <is>
          <t>harrison-oliver</t>
        </is>
      </c>
      <c r="B55" s="2" t="inlineStr">
        <is>
          <t>Harrison Oliver</t>
        </is>
      </c>
      <c r="C55" s="2" t="inlineStr">
        <is>
          <t>SD</t>
        </is>
      </c>
      <c r="D55" s="2" t="inlineStr">
        <is>
          <t>ND pick 19</t>
        </is>
      </c>
      <c r="E55" s="2" t="n">
        <v>19</v>
      </c>
      <c r="F55" s="2" t="n">
        <v>2024</v>
      </c>
      <c r="G55" s="2" t="inlineStr">
        <is>
          <t>ND</t>
        </is>
      </c>
      <c r="H55" s="2" t="inlineStr">
        <is>
          <t>False</t>
        </is>
      </c>
      <c r="I55" s="2" t="n">
        <v>441</v>
      </c>
      <c r="J55" s="2" t="n">
        <v>440</v>
      </c>
      <c r="K55" s="2" t="n">
        <v>-1</v>
      </c>
      <c r="L55" s="2" t="n">
        <v>-0.002267573696145125</v>
      </c>
      <c r="M55" s="2" t="n">
        <v>463</v>
      </c>
      <c r="N55" s="2" t="inlineStr">
        <is>
          <t>2026:5g@39.0</t>
        </is>
      </c>
      <c r="O55" s="2" t="n">
        <v>5</v>
      </c>
      <c r="P55" s="2" t="n">
        <v>5</v>
      </c>
      <c r="Q55" s="2" t="n">
        <v>39</v>
      </c>
      <c r="R55" s="2" t="n">
        <v>2025</v>
      </c>
      <c r="S55" s="2" t="n">
        <v>2026</v>
      </c>
      <c r="T55" s="2" t="n">
        <v>1</v>
      </c>
      <c r="U55" s="2" t="n">
        <v>2025</v>
      </c>
      <c r="V55" s="2" t="n">
        <v>1</v>
      </c>
      <c r="W55" s="2" t="n">
        <v>827.04</v>
      </c>
      <c r="X55" s="2" t="n">
        <v>0.50323</v>
      </c>
      <c r="Y55" s="2" t="n">
        <v>5</v>
      </c>
      <c r="Z55" s="2" t="n">
        <v>5.6818</v>
      </c>
      <c r="AA55" s="2" t="n">
        <v>0.941455</v>
      </c>
      <c r="AB55" s="2" t="n">
        <v>0.919964</v>
      </c>
      <c r="AC55" s="2" t="n">
        <v>0.345653</v>
      </c>
      <c r="AD55" s="2" t="n">
        <v>0.678389</v>
      </c>
      <c r="AE55" s="2" t="n">
        <v>0.234487</v>
      </c>
      <c r="AF55" s="2" t="n">
        <v>1.382757</v>
      </c>
      <c r="AG55" s="2" t="inlineStr">
        <is>
          <t>True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P4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  <col width="17" customWidth="1" min="28" max="28"/>
    <col width="17" customWidth="1" min="29" max="29"/>
    <col width="17" customWidth="1" min="30" max="30"/>
    <col width="17" customWidth="1" min="31" max="31"/>
    <col width="17" customWidth="1" min="32" max="32"/>
    <col width="17" customWidth="1" min="33" max="33"/>
    <col width="17" customWidth="1" min="34" max="34"/>
    <col width="17" customWidth="1" min="35" max="35"/>
    <col width="17" customWidth="1" min="36" max="36"/>
    <col width="17" customWidth="1" min="37" max="37"/>
    <col width="17" customWidth="1" min="38" max="38"/>
    <col width="17" customWidth="1" min="39" max="39"/>
    <col width="17" customWidth="1" min="40" max="40"/>
    <col width="17" customWidth="1" min="41" max="41"/>
    <col width="17" customWidth="1" min="42" max="42"/>
  </cols>
  <sheetData>
    <row r="1">
      <c r="A1" s="5" t="inlineStr">
        <is>
          <t>STAGE 4 AMENDMENT 1 — SURPRISE-SCALED EVIDENCE TRUST: every moved player (b490ae8b -&gt; b56bbdde)</t>
        </is>
      </c>
    </row>
    <row r="2">
      <c r="A2" s="6" t="inlineStr">
        <is>
          <t>Verbatim from docs/evidence/act_334B_2026-08-07/stage4_amend1/movers_full.csv. No cap. s = |log(e_full/anchor_full)| is the size of the re-rate the record claims; u is its unresolved share.</t>
        </is>
      </c>
    </row>
    <row r="4">
      <c r="A4" s="1" t="inlineStr">
        <is>
          <t>key</t>
        </is>
      </c>
      <c r="B4" s="1" t="inlineStr">
        <is>
          <t>player</t>
        </is>
      </c>
      <c r="C4" s="1" t="inlineStr">
        <is>
          <t>pos</t>
        </is>
      </c>
      <c r="D4" s="1" t="inlineStr">
        <is>
          <t>entry</t>
        </is>
      </c>
      <c r="E4" s="1" t="inlineStr">
        <is>
          <t>effpk</t>
        </is>
      </c>
      <c r="F4" s="1" t="inlineStr">
        <is>
          <t>draft_year</t>
        </is>
      </c>
      <c r="G4" s="1" t="inlineStr">
        <is>
          <t>pathway</t>
        </is>
      </c>
      <c r="H4" s="1" t="inlineStr">
        <is>
          <t>pool</t>
        </is>
      </c>
      <c r="I4" s="1" t="inlineStr">
        <is>
          <t>old</t>
        </is>
      </c>
      <c r="J4" s="1" t="inlineStr">
        <is>
          <t>new</t>
        </is>
      </c>
      <c r="K4" s="1" t="inlineStr">
        <is>
          <t>abs</t>
        </is>
      </c>
      <c r="L4" s="1" t="inlineStr">
        <is>
          <t>rel</t>
        </is>
      </c>
      <c r="M4" s="1" t="inlineStr">
        <is>
          <t>ev_this_build</t>
        </is>
      </c>
      <c r="N4" s="1" t="inlineStr">
        <is>
          <t>career_by_season</t>
        </is>
      </c>
      <c r="O4" s="1" t="inlineStr">
        <is>
          <t>career_games</t>
        </is>
      </c>
      <c r="P4" s="1" t="inlineStr">
        <is>
          <t>best_season_games</t>
        </is>
      </c>
      <c r="Q4" s="1" t="inlineStr">
        <is>
          <t>best_season_avg</t>
        </is>
      </c>
      <c r="R4" s="1" t="inlineStr">
        <is>
          <t>route_debut_year</t>
        </is>
      </c>
      <c r="S4" s="1" t="inlineStr">
        <is>
          <t>first_played_year</t>
        </is>
      </c>
      <c r="T4" s="1" t="inlineStr">
        <is>
          <t>sitout_years_n</t>
        </is>
      </c>
      <c r="U4" s="1" t="inlineStr">
        <is>
          <t>sitout_years</t>
        </is>
      </c>
      <c r="V4" s="1" t="inlineStr">
        <is>
          <t>lead_sitout_years</t>
        </is>
      </c>
      <c r="W4" s="1" t="inlineStr">
        <is>
          <t>draft_day_anchor</t>
        </is>
      </c>
      <c r="X4" s="1" t="inlineStr">
        <is>
          <t>retention_R</t>
        </is>
      </c>
      <c r="Y4" s="1" t="inlineStr">
        <is>
          <t>games_2026</t>
        </is>
      </c>
      <c r="Z4" s="1" t="inlineStr">
        <is>
          <t>games_at_pace</t>
        </is>
      </c>
      <c r="AA4" s="1" t="inlineStr">
        <is>
          <t>games_at_pace_clamped</t>
        </is>
      </c>
      <c r="AB4" s="1" t="inlineStr">
        <is>
          <t>lam_raw</t>
        </is>
      </c>
      <c r="AC4" s="1" t="inlineStr">
        <is>
          <t>lam_stage4</t>
        </is>
      </c>
      <c r="AD4" s="1" t="inlineStr">
        <is>
          <t>lam_after</t>
        </is>
      </c>
      <c r="AE4" s="1" t="inlineStr">
        <is>
          <t>ped</t>
        </is>
      </c>
      <c r="AF4" s="1" t="inlineStr">
        <is>
          <t>sit</t>
        </is>
      </c>
      <c r="AG4" s="1" t="inlineStr">
        <is>
          <t>q</t>
        </is>
      </c>
      <c r="AH4" s="1" t="inlineStr">
        <is>
          <t>e_full</t>
        </is>
      </c>
      <c r="AI4" s="1" t="inlineStr">
        <is>
          <t>anchor_full</t>
        </is>
      </c>
      <c r="AJ4" s="1" t="inlineStr">
        <is>
          <t>evidence_over_prior</t>
        </is>
      </c>
      <c r="AK4" s="1" t="inlineStr">
        <is>
          <t>s_surprise</t>
        </is>
      </c>
      <c r="AL4" s="1" t="inlineStr">
        <is>
          <t>u_unresolved</t>
        </is>
      </c>
      <c r="AM4" s="1" t="inlineStr">
        <is>
          <t>surprise_demand</t>
        </is>
      </c>
      <c r="AN4" s="1" t="inlineStr">
        <is>
          <t>exponent_stage4</t>
        </is>
      </c>
      <c r="AO4" s="1" t="inlineStr">
        <is>
          <t>exponent</t>
        </is>
      </c>
      <c r="AP4" s="1" t="inlineStr">
        <is>
          <t>on_sitout_path</t>
        </is>
      </c>
    </row>
    <row r="5">
      <c r="A5" s="2" t="inlineStr">
        <is>
          <t>mitch-podhajski</t>
        </is>
      </c>
      <c r="B5" s="2" t="inlineStr">
        <is>
          <t>Mitch Podhajski</t>
        </is>
      </c>
      <c r="C5" s="2" t="inlineStr">
        <is>
          <t>KPF</t>
        </is>
      </c>
      <c r="D5" s="2" t="inlineStr">
        <is>
          <t>MSD (pool, effpk 65)</t>
        </is>
      </c>
      <c r="E5" s="2" t="n">
        <v>65</v>
      </c>
      <c r="F5" s="2" t="n">
        <v>2026</v>
      </c>
      <c r="G5" s="2" t="inlineStr">
        <is>
          <t>MSD</t>
        </is>
      </c>
      <c r="H5" s="2" t="inlineStr">
        <is>
          <t>True</t>
        </is>
      </c>
      <c r="I5" s="2" t="n">
        <v>132</v>
      </c>
      <c r="J5" s="2" t="n">
        <v>200</v>
      </c>
      <c r="K5" s="2" t="n">
        <v>68</v>
      </c>
      <c r="L5" s="2" t="n">
        <v>0.5151515151515151</v>
      </c>
      <c r="M5" s="2" t="n">
        <v>211</v>
      </c>
      <c r="N5" s="2" t="inlineStr">
        <is>
          <t>2026:2g@48.5</t>
        </is>
      </c>
      <c r="O5" s="2" t="n">
        <v>2</v>
      </c>
      <c r="P5" s="2" t="n">
        <v>2</v>
      </c>
      <c r="Q5" s="2" t="n">
        <v>48.5</v>
      </c>
      <c r="R5" s="2" t="n">
        <v>2026</v>
      </c>
      <c r="S5" s="2" t="n">
        <v>2026</v>
      </c>
      <c r="T5" s="2" t="n">
        <v>0</v>
      </c>
      <c r="U5" s="2" t="inlineStr">
        <is>
          <t>-</t>
        </is>
      </c>
      <c r="V5" s="2" t="n">
        <v>0</v>
      </c>
      <c r="W5" s="2" t="n">
        <v>300.99</v>
      </c>
      <c r="X5" s="2" t="n">
        <v>0.70447</v>
      </c>
      <c r="Y5" s="2" t="n">
        <v>2</v>
      </c>
      <c r="Z5" s="2" t="n">
        <v>2.2727</v>
      </c>
      <c r="AA5" s="2" t="n">
        <v>2.2727</v>
      </c>
      <c r="AB5" s="2" t="n">
        <v>0.507727</v>
      </c>
      <c r="AC5" s="2" t="n">
        <v>0.370758</v>
      </c>
      <c r="AD5" s="2" t="n">
        <v>0.004012</v>
      </c>
      <c r="AE5" s="2" t="n">
        <v>0.07231899999999999</v>
      </c>
      <c r="AF5" s="2" t="n">
        <v>1</v>
      </c>
      <c r="AG5" s="2" t="n">
        <v>0.07231899999999999</v>
      </c>
      <c r="AH5" s="2" t="n">
        <v>13.27</v>
      </c>
      <c r="AI5" s="2" t="n">
        <v>212.03</v>
      </c>
      <c r="AJ5" s="2" t="n">
        <v>0.0626</v>
      </c>
      <c r="AK5" s="2" t="n">
        <v>2.771286</v>
      </c>
      <c r="AL5" s="2" t="n">
        <v>0.48192</v>
      </c>
      <c r="AM5" s="2" t="n">
        <v>6.677686</v>
      </c>
      <c r="AN5" s="2" t="n">
        <v>1.46384</v>
      </c>
      <c r="AO5" s="2" t="n">
        <v>8.141526000000001</v>
      </c>
      <c r="AP5" s="2" t="inlineStr">
        <is>
          <t>True</t>
        </is>
      </c>
    </row>
    <row r="6">
      <c r="A6" s="2" t="inlineStr">
        <is>
          <t>george-stevens</t>
        </is>
      </c>
      <c r="B6" s="2" t="inlineStr">
        <is>
          <t>George Stevens</t>
        </is>
      </c>
      <c r="C6" s="2" t="inlineStr">
        <is>
          <t>MID</t>
        </is>
      </c>
      <c r="D6" s="2" t="inlineStr">
        <is>
          <t>ND pick 58</t>
        </is>
      </c>
      <c r="E6" s="2" t="n">
        <v>58</v>
      </c>
      <c r="F6" s="2" t="n">
        <v>2023</v>
      </c>
      <c r="G6" s="2" t="inlineStr">
        <is>
          <t>ND</t>
        </is>
      </c>
      <c r="H6" s="2" t="inlineStr">
        <is>
          <t>False</t>
        </is>
      </c>
      <c r="I6" s="2" t="n">
        <v>219</v>
      </c>
      <c r="J6" s="2" t="n">
        <v>111</v>
      </c>
      <c r="K6" s="2" t="n">
        <v>-108</v>
      </c>
      <c r="L6" s="2" t="n">
        <v>-0.4931506849315068</v>
      </c>
      <c r="M6" s="2" t="n">
        <v>117</v>
      </c>
      <c r="N6" s="2" t="inlineStr">
        <is>
          <t>2025:2g@62.0; 2026:2g@62.0</t>
        </is>
      </c>
      <c r="O6" s="2" t="n">
        <v>4</v>
      </c>
      <c r="P6" s="2" t="n">
        <v>2</v>
      </c>
      <c r="Q6" s="2" t="n">
        <v>62</v>
      </c>
      <c r="R6" s="2" t="n">
        <v>2024</v>
      </c>
      <c r="S6" s="2" t="n">
        <v>2025</v>
      </c>
      <c r="T6" s="2" t="n">
        <v>1</v>
      </c>
      <c r="U6" s="2" t="n">
        <v>2024</v>
      </c>
      <c r="V6" s="2" t="n">
        <v>1</v>
      </c>
      <c r="W6" s="2" t="n">
        <v>297.26</v>
      </c>
      <c r="X6" s="2" t="n">
        <v>0.3525</v>
      </c>
      <c r="Y6" s="2" t="n">
        <v>2</v>
      </c>
      <c r="Z6" s="2" t="n">
        <v>2.2727</v>
      </c>
      <c r="AA6" s="2" t="n">
        <v>2.2727</v>
      </c>
      <c r="AB6" s="2" t="n">
        <v>0.507727</v>
      </c>
      <c r="AC6" s="2" t="n">
        <v>0.368567</v>
      </c>
      <c r="AD6" s="2" t="n">
        <v>0.036169</v>
      </c>
      <c r="AE6" s="2" t="n">
        <v>0.09764100000000001</v>
      </c>
      <c r="AF6" s="2" t="n">
        <v>0.561584</v>
      </c>
      <c r="AG6" s="2" t="n">
        <v>0.054834</v>
      </c>
      <c r="AH6" s="2" t="n">
        <v>434.1</v>
      </c>
      <c r="AI6" s="2" t="n">
        <v>104.79</v>
      </c>
      <c r="AJ6" s="2" t="n">
        <v>4.1427</v>
      </c>
      <c r="AK6" s="2" t="n">
        <v>1.421356</v>
      </c>
      <c r="AL6" s="2" t="n">
        <v>0.48192</v>
      </c>
      <c r="AM6" s="2" t="n">
        <v>3.424896</v>
      </c>
      <c r="AN6" s="2" t="n">
        <v>1.472583</v>
      </c>
      <c r="AO6" s="2" t="n">
        <v>4.89748</v>
      </c>
      <c r="AP6" s="2" t="inlineStr">
        <is>
          <t>True</t>
        </is>
      </c>
    </row>
    <row r="7">
      <c r="A7" s="2" t="inlineStr">
        <is>
          <t>noah-mraz</t>
        </is>
      </c>
      <c r="B7" s="2" t="inlineStr">
        <is>
          <t>Noah Mraz</t>
        </is>
      </c>
      <c r="C7" s="2" t="inlineStr">
        <is>
          <t>KPD</t>
        </is>
      </c>
      <c r="D7" s="2" t="inlineStr">
        <is>
          <t>ND pick 35</t>
        </is>
      </c>
      <c r="E7" s="2" t="n">
        <v>35</v>
      </c>
      <c r="F7" s="2" t="n">
        <v>2024</v>
      </c>
      <c r="G7" s="2" t="inlineStr">
        <is>
          <t>ND</t>
        </is>
      </c>
      <c r="H7" s="2" t="inlineStr">
        <is>
          <t>False</t>
        </is>
      </c>
      <c r="I7" s="2" t="n">
        <v>2898</v>
      </c>
      <c r="J7" s="2" t="n">
        <v>1585</v>
      </c>
      <c r="K7" s="2" t="n">
        <v>-1313</v>
      </c>
      <c r="L7" s="2" t="n">
        <v>-0.4530710835058661</v>
      </c>
      <c r="M7" s="2" t="n">
        <v>1668</v>
      </c>
      <c r="N7" s="2" t="inlineStr">
        <is>
          <t>2026:4g@84.2</t>
        </is>
      </c>
      <c r="O7" s="2" t="n">
        <v>4</v>
      </c>
      <c r="P7" s="2" t="n">
        <v>4</v>
      </c>
      <c r="Q7" s="2" t="n">
        <v>84.25</v>
      </c>
      <c r="R7" s="2" t="n">
        <v>2025</v>
      </c>
      <c r="S7" s="2" t="n">
        <v>2026</v>
      </c>
      <c r="T7" s="2" t="n">
        <v>1</v>
      </c>
      <c r="U7" s="2" t="n">
        <v>2025</v>
      </c>
      <c r="V7" s="2" t="n">
        <v>1</v>
      </c>
      <c r="W7" s="2" t="n">
        <v>461.25</v>
      </c>
      <c r="X7" s="2" t="n">
        <v>0.45877</v>
      </c>
      <c r="Y7" s="2" t="n">
        <v>4</v>
      </c>
      <c r="Z7" s="2" t="n">
        <v>4.5455</v>
      </c>
      <c r="AA7" s="2" t="n">
        <v>4.5455</v>
      </c>
      <c r="AB7" s="2" t="n">
        <v>0.693727</v>
      </c>
      <c r="AC7" s="2" t="n">
        <v>0.592552</v>
      </c>
      <c r="AD7" s="2" t="n">
        <v>0.303456</v>
      </c>
      <c r="AE7" s="2" t="n">
        <v>0.209889</v>
      </c>
      <c r="AF7" s="2" t="n">
        <v>0.656601</v>
      </c>
      <c r="AG7" s="2" t="n">
        <v>0.137813</v>
      </c>
      <c r="AH7" s="2" t="n">
        <v>5068.48</v>
      </c>
      <c r="AI7" s="2" t="n">
        <v>211.61</v>
      </c>
      <c r="AJ7" s="2" t="n">
        <v>23.9523</v>
      </c>
      <c r="AK7" s="2" t="n">
        <v>3.176066</v>
      </c>
      <c r="AL7" s="2" t="n">
        <v>0.115239</v>
      </c>
      <c r="AM7" s="2" t="n">
        <v>1.830042</v>
      </c>
      <c r="AN7" s="2" t="n">
        <v>1.431093</v>
      </c>
      <c r="AO7" s="2" t="n">
        <v>3.261135</v>
      </c>
      <c r="AP7" s="2" t="inlineStr">
        <is>
          <t>True</t>
        </is>
      </c>
    </row>
    <row r="8">
      <c r="A8" s="2" t="inlineStr">
        <is>
          <t>zane-zakostelsky</t>
        </is>
      </c>
      <c r="B8" s="2" t="inlineStr">
        <is>
          <t>Zane Zakostelsky</t>
        </is>
      </c>
      <c r="C8" s="2" t="inlineStr">
        <is>
          <t>KPD</t>
        </is>
      </c>
      <c r="D8" s="2" t="inlineStr">
        <is>
          <t>ND pick 51</t>
        </is>
      </c>
      <c r="E8" s="2" t="n">
        <v>51</v>
      </c>
      <c r="F8" s="2" t="n">
        <v>2023</v>
      </c>
      <c r="G8" s="2" t="inlineStr">
        <is>
          <t>ND</t>
        </is>
      </c>
      <c r="H8" s="2" t="inlineStr">
        <is>
          <t>False</t>
        </is>
      </c>
      <c r="I8" s="2" t="n">
        <v>275</v>
      </c>
      <c r="J8" s="2" t="n">
        <v>152</v>
      </c>
      <c r="K8" s="2" t="n">
        <v>-123</v>
      </c>
      <c r="L8" s="2" t="n">
        <v>-0.4472727272727273</v>
      </c>
      <c r="M8" s="2" t="n">
        <v>160</v>
      </c>
      <c r="N8" s="2" t="inlineStr">
        <is>
          <t>2026:3g@49.0</t>
        </is>
      </c>
      <c r="O8" s="2" t="n">
        <v>3</v>
      </c>
      <c r="P8" s="2" t="n">
        <v>3</v>
      </c>
      <c r="Q8" s="2" t="n">
        <v>49</v>
      </c>
      <c r="R8" s="2" t="n">
        <v>2024</v>
      </c>
      <c r="S8" s="2" t="n">
        <v>2026</v>
      </c>
      <c r="T8" s="2" t="n">
        <v>2</v>
      </c>
      <c r="U8" s="2" t="inlineStr">
        <is>
          <t>2024,2025</t>
        </is>
      </c>
      <c r="V8" s="2" t="n">
        <v>2</v>
      </c>
      <c r="W8" s="2" t="n">
        <v>302.98</v>
      </c>
      <c r="X8" s="2" t="n">
        <v>0.36077</v>
      </c>
      <c r="Y8" s="2" t="n">
        <v>3</v>
      </c>
      <c r="Z8" s="2" t="n">
        <v>3.4091</v>
      </c>
      <c r="AA8" s="2" t="n">
        <v>3.4091</v>
      </c>
      <c r="AB8" s="2" t="n">
        <v>0.547</v>
      </c>
      <c r="AC8" s="2" t="n">
        <v>0.412524</v>
      </c>
      <c r="AD8" s="2" t="n">
        <v>0.121914</v>
      </c>
      <c r="AE8" s="2" t="n">
        <v>0.126224</v>
      </c>
      <c r="AF8" s="2" t="n">
        <v>0.51212</v>
      </c>
      <c r="AG8" s="2" t="n">
        <v>0.06464200000000001</v>
      </c>
      <c r="AH8" s="2" t="n">
        <v>519.62</v>
      </c>
      <c r="AI8" s="2" t="n">
        <v>109.31</v>
      </c>
      <c r="AJ8" s="2" t="n">
        <v>4.7538</v>
      </c>
      <c r="AK8" s="2" t="n">
        <v>1.55894</v>
      </c>
      <c r="AL8" s="2" t="n">
        <v>0.259214</v>
      </c>
      <c r="AM8" s="2" t="n">
        <v>2.020497</v>
      </c>
      <c r="AN8" s="2" t="n">
        <v>1.467679</v>
      </c>
      <c r="AO8" s="2" t="n">
        <v>3.488177</v>
      </c>
      <c r="AP8" s="2" t="inlineStr">
        <is>
          <t>True</t>
        </is>
      </c>
    </row>
    <row r="9">
      <c r="A9" s="2" t="inlineStr">
        <is>
          <t>thomas-anastasopoulos</t>
        </is>
      </c>
      <c r="B9" s="2" t="inlineStr">
        <is>
          <t>Tom Anastasopoulos</t>
        </is>
      </c>
      <c r="C9" s="2" t="inlineStr">
        <is>
          <t>SF</t>
        </is>
      </c>
      <c r="D9" s="2" t="inlineStr">
        <is>
          <t>ND pick 48</t>
        </is>
      </c>
      <c r="E9" s="2" t="n">
        <v>48</v>
      </c>
      <c r="F9" s="2" t="n">
        <v>2023</v>
      </c>
      <c r="G9" s="2" t="inlineStr">
        <is>
          <t>ND</t>
        </is>
      </c>
      <c r="H9" s="2" t="inlineStr">
        <is>
          <t>False</t>
        </is>
      </c>
      <c r="I9" s="2" t="n">
        <v>160</v>
      </c>
      <c r="J9" s="2" t="n">
        <v>104</v>
      </c>
      <c r="K9" s="2" t="n">
        <v>-56</v>
      </c>
      <c r="L9" s="2" t="n">
        <v>-0.35</v>
      </c>
      <c r="M9" s="2" t="n">
        <v>109</v>
      </c>
      <c r="N9" s="2" t="inlineStr">
        <is>
          <t>2026:2g@40.5</t>
        </is>
      </c>
      <c r="O9" s="2" t="n">
        <v>2</v>
      </c>
      <c r="P9" s="2" t="n">
        <v>2</v>
      </c>
      <c r="Q9" s="2" t="n">
        <v>40.5</v>
      </c>
      <c r="R9" s="2" t="n">
        <v>2024</v>
      </c>
      <c r="S9" s="2" t="n">
        <v>2026</v>
      </c>
      <c r="T9" s="2" t="n">
        <v>2</v>
      </c>
      <c r="U9" s="2" t="inlineStr">
        <is>
          <t>2024,2025</t>
        </is>
      </c>
      <c r="V9" s="2" t="n">
        <v>2</v>
      </c>
      <c r="W9" s="2" t="n">
        <v>271.26</v>
      </c>
      <c r="X9" s="2" t="n">
        <v>0.35825</v>
      </c>
      <c r="Y9" s="2" t="n">
        <v>2</v>
      </c>
      <c r="Z9" s="2" t="n">
        <v>2.2727</v>
      </c>
      <c r="AA9" s="2" t="n">
        <v>2.2727</v>
      </c>
      <c r="AB9" s="2" t="n">
        <v>0.507727</v>
      </c>
      <c r="AC9" s="2" t="n">
        <v>0.371586</v>
      </c>
      <c r="AD9" s="2" t="n">
        <v>0.064918</v>
      </c>
      <c r="AE9" s="2" t="n">
        <v>0.139697</v>
      </c>
      <c r="AF9" s="2" t="n">
        <v>0.5648069999999999</v>
      </c>
      <c r="AG9" s="2" t="n">
        <v>0.078902</v>
      </c>
      <c r="AH9" s="2" t="n">
        <v>282.81</v>
      </c>
      <c r="AI9" s="2" t="n">
        <v>97.18000000000001</v>
      </c>
      <c r="AJ9" s="2" t="n">
        <v>2.9102</v>
      </c>
      <c r="AK9" s="2" t="n">
        <v>1.068213</v>
      </c>
      <c r="AL9" s="2" t="n">
        <v>0.48192</v>
      </c>
      <c r="AM9" s="2" t="n">
        <v>2.573965</v>
      </c>
      <c r="AN9" s="2" t="n">
        <v>1.460549</v>
      </c>
      <c r="AO9" s="2" t="n">
        <v>4.034514</v>
      </c>
      <c r="AP9" s="2" t="inlineStr">
        <is>
          <t>True</t>
        </is>
      </c>
    </row>
    <row r="10">
      <c r="A10" s="2" t="inlineStr">
        <is>
          <t>lukas-cooke</t>
        </is>
      </c>
      <c r="B10" s="2" t="inlineStr">
        <is>
          <t>Lukas Cooke</t>
        </is>
      </c>
      <c r="C10" s="2" t="inlineStr">
        <is>
          <t>KPD</t>
        </is>
      </c>
      <c r="D10" s="2" t="inlineStr">
        <is>
          <t>MSD (pool, effpk 65)</t>
        </is>
      </c>
      <c r="E10" s="2" t="n">
        <v>65</v>
      </c>
      <c r="F10" s="2" t="n">
        <v>2026</v>
      </c>
      <c r="G10" s="2" t="inlineStr">
        <is>
          <t>MSD</t>
        </is>
      </c>
      <c r="H10" s="2" t="inlineStr">
        <is>
          <t>True</t>
        </is>
      </c>
      <c r="I10" s="2" t="n">
        <v>153</v>
      </c>
      <c r="J10" s="2" t="n">
        <v>198</v>
      </c>
      <c r="K10" s="2" t="n">
        <v>45</v>
      </c>
      <c r="L10" s="2" t="n">
        <v>0.2941176470588235</v>
      </c>
      <c r="M10" s="2" t="n">
        <v>208</v>
      </c>
      <c r="N10" s="2" t="inlineStr">
        <is>
          <t>2026:2g@43.5</t>
        </is>
      </c>
      <c r="O10" s="2" t="n">
        <v>2</v>
      </c>
      <c r="P10" s="2" t="n">
        <v>2</v>
      </c>
      <c r="Q10" s="2" t="n">
        <v>43.5</v>
      </c>
      <c r="R10" s="2" t="n">
        <v>2026</v>
      </c>
      <c r="S10" s="2" t="n">
        <v>2026</v>
      </c>
      <c r="T10" s="2" t="n">
        <v>0</v>
      </c>
      <c r="U10" s="2" t="inlineStr">
        <is>
          <t>-</t>
        </is>
      </c>
      <c r="V10" s="2" t="n">
        <v>0</v>
      </c>
      <c r="W10" s="2" t="n">
        <v>300.99</v>
      </c>
      <c r="X10" s="2" t="n">
        <v>0.70447</v>
      </c>
      <c r="Y10" s="2" t="n">
        <v>2</v>
      </c>
      <c r="Z10" s="2" t="n">
        <v>2.2727</v>
      </c>
      <c r="AA10" s="2" t="n">
        <v>2.2727</v>
      </c>
      <c r="AB10" s="2" t="n">
        <v>0.507727</v>
      </c>
      <c r="AC10" s="2" t="n">
        <v>0.370758</v>
      </c>
      <c r="AD10" s="2" t="n">
        <v>0.03986</v>
      </c>
      <c r="AE10" s="2" t="n">
        <v>0.07231899999999999</v>
      </c>
      <c r="AF10" s="2" t="n">
        <v>1</v>
      </c>
      <c r="AG10" s="2" t="n">
        <v>0.07231899999999999</v>
      </c>
      <c r="AH10" s="2" t="n">
        <v>54.12</v>
      </c>
      <c r="AI10" s="2" t="n">
        <v>212.03</v>
      </c>
      <c r="AJ10" s="2" t="n">
        <v>0.2553</v>
      </c>
      <c r="AK10" s="2" t="n">
        <v>1.365474</v>
      </c>
      <c r="AL10" s="2" t="n">
        <v>0.48192</v>
      </c>
      <c r="AM10" s="2" t="n">
        <v>3.290243</v>
      </c>
      <c r="AN10" s="2" t="n">
        <v>1.46384</v>
      </c>
      <c r="AO10" s="2" t="n">
        <v>4.754084</v>
      </c>
      <c r="AP10" s="2" t="inlineStr">
        <is>
          <t>True</t>
        </is>
      </c>
    </row>
    <row r="11">
      <c r="A11" s="2" t="inlineStr">
        <is>
          <t>luker-kentfield</t>
        </is>
      </c>
      <c r="B11" s="2" t="inlineStr">
        <is>
          <t>Luker Kentfield</t>
        </is>
      </c>
      <c r="C11" s="2" t="inlineStr">
        <is>
          <t>KPF</t>
        </is>
      </c>
      <c r="D11" s="2" t="inlineStr">
        <is>
          <t>MSD (pool, effpk 65)</t>
        </is>
      </c>
      <c r="E11" s="2" t="n">
        <v>65</v>
      </c>
      <c r="F11" s="2" t="n">
        <v>2024</v>
      </c>
      <c r="G11" s="2" t="inlineStr">
        <is>
          <t>MSD</t>
        </is>
      </c>
      <c r="H11" s="2" t="inlineStr">
        <is>
          <t>True</t>
        </is>
      </c>
      <c r="I11" s="2" t="n">
        <v>200</v>
      </c>
      <c r="J11" s="2" t="n">
        <v>142</v>
      </c>
      <c r="K11" s="2" t="n">
        <v>-58</v>
      </c>
      <c r="L11" s="2" t="n">
        <v>-0.29</v>
      </c>
      <c r="M11" s="2" t="n">
        <v>149</v>
      </c>
      <c r="N11" s="2" t="inlineStr">
        <is>
          <t>2026:3g@32.3</t>
        </is>
      </c>
      <c r="O11" s="2" t="n">
        <v>3</v>
      </c>
      <c r="P11" s="2" t="n">
        <v>3</v>
      </c>
      <c r="Q11" s="2" t="n">
        <v>32.33</v>
      </c>
      <c r="R11" s="2" t="n">
        <v>2024</v>
      </c>
      <c r="S11" s="2" t="n">
        <v>2026</v>
      </c>
      <c r="T11" s="2" t="n">
        <v>2</v>
      </c>
      <c r="U11" s="2" t="inlineStr">
        <is>
          <t>2024,2025</t>
        </is>
      </c>
      <c r="V11" s="2" t="n">
        <v>2</v>
      </c>
      <c r="W11" s="2" t="n">
        <v>300.99</v>
      </c>
      <c r="X11" s="2" t="n">
        <v>0.36077</v>
      </c>
      <c r="Y11" s="2" t="n">
        <v>3</v>
      </c>
      <c r="Z11" s="2" t="n">
        <v>3.4091</v>
      </c>
      <c r="AA11" s="2" t="n">
        <v>3.4091</v>
      </c>
      <c r="AB11" s="2" t="n">
        <v>0.547</v>
      </c>
      <c r="AC11" s="2" t="n">
        <v>0.409103</v>
      </c>
      <c r="AD11" s="2" t="n">
        <v>0.161253</v>
      </c>
      <c r="AE11" s="2" t="n">
        <v>0.07231899999999999</v>
      </c>
      <c r="AF11" s="2" t="n">
        <v>0.51212</v>
      </c>
      <c r="AG11" s="2" t="n">
        <v>0.037036</v>
      </c>
      <c r="AH11" s="2" t="n">
        <v>357.16</v>
      </c>
      <c r="AI11" s="2" t="n">
        <v>108.59</v>
      </c>
      <c r="AJ11" s="2" t="n">
        <v>3.2892</v>
      </c>
      <c r="AK11" s="2" t="n">
        <v>1.190636</v>
      </c>
      <c r="AL11" s="2" t="n">
        <v>0.259214</v>
      </c>
      <c r="AM11" s="2" t="n">
        <v>1.543149</v>
      </c>
      <c r="AN11" s="2" t="n">
        <v>1.481482</v>
      </c>
      <c r="AO11" s="2" t="n">
        <v>3.024631</v>
      </c>
      <c r="AP11" s="2" t="inlineStr">
        <is>
          <t>True</t>
        </is>
      </c>
    </row>
    <row r="12">
      <c r="A12" s="2" t="inlineStr">
        <is>
          <t>lachlan-smith</t>
        </is>
      </c>
      <c r="B12" s="2" t="inlineStr">
        <is>
          <t>Lachlan Smith</t>
        </is>
      </c>
      <c r="C12" s="2" t="inlineStr">
        <is>
          <t>RUCK</t>
        </is>
      </c>
      <c r="D12" s="2" t="inlineStr">
        <is>
          <t>ND pick 47</t>
        </is>
      </c>
      <c r="E12" s="2" t="n">
        <v>47</v>
      </c>
      <c r="F12" s="2" t="n">
        <v>2023</v>
      </c>
      <c r="G12" s="2" t="inlineStr">
        <is>
          <t>ND</t>
        </is>
      </c>
      <c r="H12" s="2" t="inlineStr">
        <is>
          <t>False</t>
        </is>
      </c>
      <c r="I12" s="2" t="n">
        <v>459</v>
      </c>
      <c r="J12" s="2" t="n">
        <v>328</v>
      </c>
      <c r="K12" s="2" t="n">
        <v>-131</v>
      </c>
      <c r="L12" s="2" t="n">
        <v>-0.2854030501089325</v>
      </c>
      <c r="M12" s="2" t="n">
        <v>345</v>
      </c>
      <c r="N12" s="2" t="inlineStr">
        <is>
          <t>2026:2g@53.0</t>
        </is>
      </c>
      <c r="O12" s="2" t="n">
        <v>2</v>
      </c>
      <c r="P12" s="2" t="n">
        <v>2</v>
      </c>
      <c r="Q12" s="2" t="n">
        <v>53</v>
      </c>
      <c r="R12" s="2" t="n">
        <v>2024</v>
      </c>
      <c r="S12" s="2" t="n">
        <v>2026</v>
      </c>
      <c r="T12" s="2" t="n">
        <v>2</v>
      </c>
      <c r="U12" s="2" t="inlineStr">
        <is>
          <t>2024,2025</t>
        </is>
      </c>
      <c r="V12" s="2" t="n">
        <v>2</v>
      </c>
      <c r="W12" s="2" t="n">
        <v>513.58</v>
      </c>
      <c r="X12" s="2" t="n">
        <v>0.59666</v>
      </c>
      <c r="Y12" s="2" t="n">
        <v>2</v>
      </c>
      <c r="Z12" s="2" t="n">
        <v>2.2727</v>
      </c>
      <c r="AA12" s="2" t="n">
        <v>2.2727</v>
      </c>
      <c r="AB12" s="2" t="n">
        <v>0.507727</v>
      </c>
      <c r="AC12" s="2" t="n">
        <v>0.374827</v>
      </c>
      <c r="AD12" s="2" t="n">
        <v>0.07736899999999999</v>
      </c>
      <c r="AE12" s="2" t="n">
        <v>0.144375</v>
      </c>
      <c r="AF12" s="2" t="n">
        <v>0.724009</v>
      </c>
      <c r="AG12" s="2" t="n">
        <v>0.104529</v>
      </c>
      <c r="AH12" s="2" t="n">
        <v>805.22</v>
      </c>
      <c r="AI12" s="2" t="n">
        <v>306.44</v>
      </c>
      <c r="AJ12" s="2" t="n">
        <v>2.6277</v>
      </c>
      <c r="AK12" s="2" t="n">
        <v>0.966095</v>
      </c>
      <c r="AL12" s="2" t="n">
        <v>0.48192</v>
      </c>
      <c r="AM12" s="2" t="n">
        <v>2.327901</v>
      </c>
      <c r="AN12" s="2" t="n">
        <v>1.447735</v>
      </c>
      <c r="AO12" s="2" t="n">
        <v>3.775637</v>
      </c>
      <c r="AP12" s="2" t="inlineStr">
        <is>
          <t>True</t>
        </is>
      </c>
    </row>
    <row r="13">
      <c r="A13" s="2" t="inlineStr">
        <is>
          <t>harrison-ramm</t>
        </is>
      </c>
      <c r="B13" s="2" t="inlineStr">
        <is>
          <t>Harrison Ramm</t>
        </is>
      </c>
      <c r="C13" s="2" t="inlineStr">
        <is>
          <t>KPD</t>
        </is>
      </c>
      <c r="D13" s="2" t="inlineStr">
        <is>
          <t>MSD (pool, effpk 65)</t>
        </is>
      </c>
      <c r="E13" s="2" t="n">
        <v>65</v>
      </c>
      <c r="F13" s="2" t="n">
        <v>2025</v>
      </c>
      <c r="G13" s="2" t="inlineStr">
        <is>
          <t>MSD</t>
        </is>
      </c>
      <c r="H13" s="2" t="inlineStr">
        <is>
          <t>True</t>
        </is>
      </c>
      <c r="I13" s="2" t="n">
        <v>221</v>
      </c>
      <c r="J13" s="2" t="n">
        <v>169</v>
      </c>
      <c r="K13" s="2" t="n">
        <v>-52</v>
      </c>
      <c r="L13" s="2" t="n">
        <v>-0.2352941176470588</v>
      </c>
      <c r="M13" s="2" t="n">
        <v>178</v>
      </c>
      <c r="N13" s="2" t="inlineStr">
        <is>
          <t>2025:1g@28.0; 2026:3g@23.7</t>
        </is>
      </c>
      <c r="O13" s="2" t="n">
        <v>4</v>
      </c>
      <c r="P13" s="2" t="n">
        <v>3</v>
      </c>
      <c r="Q13" s="2" t="n">
        <v>28</v>
      </c>
      <c r="R13" s="2" t="n">
        <v>2025</v>
      </c>
      <c r="S13" s="2" t="n">
        <v>2025</v>
      </c>
      <c r="T13" s="2" t="n">
        <v>0</v>
      </c>
      <c r="U13" s="2" t="inlineStr">
        <is>
          <t>-</t>
        </is>
      </c>
      <c r="V13" s="2" t="n">
        <v>0</v>
      </c>
      <c r="W13" s="2" t="n">
        <v>300.99</v>
      </c>
      <c r="X13" s="2" t="n">
        <v>0.448</v>
      </c>
      <c r="Y13" s="2" t="n">
        <v>3</v>
      </c>
      <c r="Z13" s="2" t="n">
        <v>3.4091</v>
      </c>
      <c r="AA13" s="2" t="n">
        <v>3.4091</v>
      </c>
      <c r="AB13" s="2" t="n">
        <v>0.547</v>
      </c>
      <c r="AC13" s="2" t="n">
        <v>0.41021</v>
      </c>
      <c r="AD13" s="2" t="n">
        <v>0.183232</v>
      </c>
      <c r="AE13" s="2" t="n">
        <v>0.07231899999999999</v>
      </c>
      <c r="AF13" s="2" t="n">
        <v>0.635949</v>
      </c>
      <c r="AG13" s="2" t="n">
        <v>0.045991</v>
      </c>
      <c r="AH13" s="2" t="n">
        <v>377.96</v>
      </c>
      <c r="AI13" s="2" t="n">
        <v>134.84</v>
      </c>
      <c r="AJ13" s="2" t="n">
        <v>2.803</v>
      </c>
      <c r="AK13" s="2" t="n">
        <v>1.030679</v>
      </c>
      <c r="AL13" s="2" t="n">
        <v>0.259214</v>
      </c>
      <c r="AM13" s="2" t="n">
        <v>1.335834</v>
      </c>
      <c r="AN13" s="2" t="n">
        <v>1.477004</v>
      </c>
      <c r="AO13" s="2" t="n">
        <v>2.812838</v>
      </c>
      <c r="AP13" s="2" t="inlineStr">
        <is>
          <t>True</t>
        </is>
      </c>
    </row>
    <row r="14">
      <c r="A14" s="2" t="inlineStr">
        <is>
          <t>matt-whitlock</t>
        </is>
      </c>
      <c r="B14" s="2" t="inlineStr">
        <is>
          <t>Matt Whitlock</t>
        </is>
      </c>
      <c r="C14" s="2" t="inlineStr">
        <is>
          <t>KPF</t>
        </is>
      </c>
      <c r="D14" s="2" t="inlineStr">
        <is>
          <t>ND pick 27</t>
        </is>
      </c>
      <c r="E14" s="2" t="n">
        <v>27</v>
      </c>
      <c r="F14" s="2" t="n">
        <v>2024</v>
      </c>
      <c r="G14" s="2" t="inlineStr">
        <is>
          <t>ND</t>
        </is>
      </c>
      <c r="H14" s="2" t="inlineStr">
        <is>
          <t>False</t>
        </is>
      </c>
      <c r="I14" s="2" t="n">
        <v>468</v>
      </c>
      <c r="J14" s="2" t="n">
        <v>359</v>
      </c>
      <c r="K14" s="2" t="n">
        <v>-109</v>
      </c>
      <c r="L14" s="2" t="n">
        <v>-0.2329059829059829</v>
      </c>
      <c r="M14" s="2" t="n">
        <v>378</v>
      </c>
      <c r="N14" s="2" t="inlineStr">
        <is>
          <t>2025:2g@21.5; 2026:3g@27.7</t>
        </is>
      </c>
      <c r="O14" s="2" t="n">
        <v>5</v>
      </c>
      <c r="P14" s="2" t="n">
        <v>3</v>
      </c>
      <c r="Q14" s="2" t="n">
        <v>27.67</v>
      </c>
      <c r="R14" s="2" t="n">
        <v>2025</v>
      </c>
      <c r="S14" s="2" t="n">
        <v>2025</v>
      </c>
      <c r="T14" s="2" t="n">
        <v>0</v>
      </c>
      <c r="U14" s="2" t="inlineStr">
        <is>
          <t>-</t>
        </is>
      </c>
      <c r="V14" s="2" t="n">
        <v>0</v>
      </c>
      <c r="W14" s="2" t="n">
        <v>588.52</v>
      </c>
      <c r="X14" s="2" t="n">
        <v>0.4801</v>
      </c>
      <c r="Y14" s="2" t="n">
        <v>3</v>
      </c>
      <c r="Z14" s="2" t="n">
        <v>3.4091</v>
      </c>
      <c r="AA14" s="2" t="n">
        <v>3.4091</v>
      </c>
      <c r="AB14" s="2" t="n">
        <v>0.547</v>
      </c>
      <c r="AC14" s="2" t="n">
        <v>0.427007</v>
      </c>
      <c r="AD14" s="2" t="n">
        <v>0.190973</v>
      </c>
      <c r="AE14" s="2" t="n">
        <v>0.267561</v>
      </c>
      <c r="AF14" s="2" t="n">
        <v>0.669107</v>
      </c>
      <c r="AG14" s="2" t="n">
        <v>0.179027</v>
      </c>
      <c r="AH14" s="2" t="n">
        <v>790.71</v>
      </c>
      <c r="AI14" s="2" t="n">
        <v>282.55</v>
      </c>
      <c r="AJ14" s="2" t="n">
        <v>2.7985</v>
      </c>
      <c r="AK14" s="2" t="n">
        <v>1.029083</v>
      </c>
      <c r="AL14" s="2" t="n">
        <v>0.259214</v>
      </c>
      <c r="AM14" s="2" t="n">
        <v>1.333764</v>
      </c>
      <c r="AN14" s="2" t="n">
        <v>1.410487</v>
      </c>
      <c r="AO14" s="2" t="n">
        <v>2.744251</v>
      </c>
      <c r="AP14" s="2" t="inlineStr">
        <is>
          <t>True</t>
        </is>
      </c>
    </row>
    <row r="15">
      <c r="A15" s="2" t="inlineStr">
        <is>
          <t>hudson-o-keeffe</t>
        </is>
      </c>
      <c r="B15" s="2" t="inlineStr">
        <is>
          <t>Hudson O'Keeffe</t>
        </is>
      </c>
      <c r="C15" s="2" t="inlineStr">
        <is>
          <t>KPF</t>
        </is>
      </c>
      <c r="D15" s="2" t="inlineStr">
        <is>
          <t>SSP (pool, effpk 65)</t>
        </is>
      </c>
      <c r="E15" s="2" t="n">
        <v>65</v>
      </c>
      <c r="F15" s="2" t="n">
        <v>2022</v>
      </c>
      <c r="G15" s="2" t="inlineStr">
        <is>
          <t>SSP</t>
        </is>
      </c>
      <c r="H15" s="2" t="inlineStr">
        <is>
          <t>True</t>
        </is>
      </c>
      <c r="I15" s="2" t="n">
        <v>137</v>
      </c>
      <c r="J15" s="2" t="n">
        <v>109</v>
      </c>
      <c r="K15" s="2" t="n">
        <v>-28</v>
      </c>
      <c r="L15" s="2" t="n">
        <v>-0.2043795620437956</v>
      </c>
      <c r="M15" s="2" t="n">
        <v>115</v>
      </c>
      <c r="N15" s="2" t="inlineStr">
        <is>
          <t>2025:5g@48.8; 2026:3g@29.7</t>
        </is>
      </c>
      <c r="O15" s="2" t="n">
        <v>8</v>
      </c>
      <c r="P15" s="2" t="n">
        <v>5</v>
      </c>
      <c r="Q15" s="2" t="n">
        <v>48.8</v>
      </c>
      <c r="R15" s="2" t="n">
        <v>2023</v>
      </c>
      <c r="S15" s="2" t="n">
        <v>2025</v>
      </c>
      <c r="T15" s="2" t="n">
        <v>2</v>
      </c>
      <c r="U15" s="2" t="inlineStr">
        <is>
          <t>2023,2024</t>
        </is>
      </c>
      <c r="V15" s="2" t="n">
        <v>2</v>
      </c>
      <c r="W15" s="2" t="n">
        <v>265.2</v>
      </c>
      <c r="X15" s="2" t="n">
        <v>0.33697</v>
      </c>
      <c r="Y15" s="2" t="n">
        <v>3</v>
      </c>
      <c r="Z15" s="2" t="n">
        <v>3.4091</v>
      </c>
      <c r="AA15" s="2" t="n">
        <v>3.4091</v>
      </c>
      <c r="AB15" s="2" t="n">
        <v>0.547</v>
      </c>
      <c r="AC15" s="2" t="n">
        <v>0.408802</v>
      </c>
      <c r="AD15" s="2" t="n">
        <v>0.218502</v>
      </c>
      <c r="AE15" s="2" t="n">
        <v>0.07231899999999999</v>
      </c>
      <c r="AF15" s="2" t="n">
        <v>0.478328</v>
      </c>
      <c r="AG15" s="2" t="n">
        <v>0.034592</v>
      </c>
      <c r="AH15" s="2" t="n">
        <v>199.11</v>
      </c>
      <c r="AI15" s="2" t="n">
        <v>89.37</v>
      </c>
      <c r="AJ15" s="2" t="n">
        <v>2.2281</v>
      </c>
      <c r="AK15" s="2" t="n">
        <v>0.801143</v>
      </c>
      <c r="AL15" s="2" t="n">
        <v>0.259214</v>
      </c>
      <c r="AM15" s="2" t="n">
        <v>1.038338</v>
      </c>
      <c r="AN15" s="2" t="n">
        <v>1.482704</v>
      </c>
      <c r="AO15" s="2" t="n">
        <v>2.521042</v>
      </c>
      <c r="AP15" s="2" t="inlineStr">
        <is>
          <t>True</t>
        </is>
      </c>
    </row>
    <row r="16">
      <c r="A16" s="2" t="inlineStr">
        <is>
          <t>taylor-goad</t>
        </is>
      </c>
      <c r="B16" s="2" t="inlineStr">
        <is>
          <t>Taylor Goad</t>
        </is>
      </c>
      <c r="C16" s="2" t="inlineStr">
        <is>
          <t>RUCK</t>
        </is>
      </c>
      <c r="D16" s="2" t="inlineStr">
        <is>
          <t>ND pick 20</t>
        </is>
      </c>
      <c r="E16" s="2" t="n">
        <v>20</v>
      </c>
      <c r="F16" s="2" t="n">
        <v>2023</v>
      </c>
      <c r="G16" s="2" t="inlineStr">
        <is>
          <t>ND</t>
        </is>
      </c>
      <c r="H16" s="2" t="inlineStr">
        <is>
          <t>False</t>
        </is>
      </c>
      <c r="I16" s="2" t="n">
        <v>830</v>
      </c>
      <c r="J16" s="2" t="n">
        <v>671</v>
      </c>
      <c r="K16" s="2" t="n">
        <v>-159</v>
      </c>
      <c r="L16" s="2" t="n">
        <v>-0.191566265060241</v>
      </c>
      <c r="M16" s="2" t="n">
        <v>706</v>
      </c>
      <c r="N16" s="2" t="inlineStr">
        <is>
          <t>2026:2g@43.5</t>
        </is>
      </c>
      <c r="O16" s="2" t="n">
        <v>2</v>
      </c>
      <c r="P16" s="2" t="n">
        <v>2</v>
      </c>
      <c r="Q16" s="2" t="n">
        <v>43.5</v>
      </c>
      <c r="R16" s="2" t="n">
        <v>2024</v>
      </c>
      <c r="S16" s="2" t="n">
        <v>2026</v>
      </c>
      <c r="T16" s="2" t="n">
        <v>2</v>
      </c>
      <c r="U16" s="2" t="inlineStr">
        <is>
          <t>2024,2025</t>
        </is>
      </c>
      <c r="V16" s="2" t="n">
        <v>2</v>
      </c>
      <c r="W16" s="2" t="n">
        <v>1037.37</v>
      </c>
      <c r="X16" s="2" t="n">
        <v>0.60489</v>
      </c>
      <c r="Y16" s="2" t="n">
        <v>2</v>
      </c>
      <c r="Z16" s="2" t="n">
        <v>2.2727</v>
      </c>
      <c r="AA16" s="2" t="n">
        <v>2.2727</v>
      </c>
      <c r="AB16" s="2" t="n">
        <v>0.507727</v>
      </c>
      <c r="AC16" s="2" t="n">
        <v>0.391434</v>
      </c>
      <c r="AD16" s="2" t="n">
        <v>0.121713</v>
      </c>
      <c r="AE16" s="2" t="n">
        <v>0.334254</v>
      </c>
      <c r="AF16" s="2" t="n">
        <v>0.695428</v>
      </c>
      <c r="AG16" s="2" t="n">
        <v>0.232449</v>
      </c>
      <c r="AH16" s="2" t="n">
        <v>1283</v>
      </c>
      <c r="AI16" s="2" t="n">
        <v>627.49</v>
      </c>
      <c r="AJ16" s="2" t="n">
        <v>2.0447</v>
      </c>
      <c r="AK16" s="2" t="n">
        <v>0.71523</v>
      </c>
      <c r="AL16" s="2" t="n">
        <v>0.48192</v>
      </c>
      <c r="AM16" s="2" t="n">
        <v>1.723418</v>
      </c>
      <c r="AN16" s="2" t="n">
        <v>1.383775</v>
      </c>
      <c r="AO16" s="2" t="n">
        <v>3.107193</v>
      </c>
      <c r="AP16" s="2" t="inlineStr">
        <is>
          <t>True</t>
        </is>
      </c>
    </row>
    <row r="17">
      <c r="A17" s="2" t="inlineStr">
        <is>
          <t>archie-ludowyke</t>
        </is>
      </c>
      <c r="B17" s="2" t="inlineStr">
        <is>
          <t>Archie Ludowyke</t>
        </is>
      </c>
      <c r="C17" s="2" t="inlineStr">
        <is>
          <t>KPF</t>
        </is>
      </c>
      <c r="D17" s="2" t="inlineStr">
        <is>
          <t>ND pick 50</t>
        </is>
      </c>
      <c r="E17" s="2" t="n">
        <v>50</v>
      </c>
      <c r="F17" s="2" t="n">
        <v>2025</v>
      </c>
      <c r="G17" s="2" t="inlineStr">
        <is>
          <t>ND</t>
        </is>
      </c>
      <c r="H17" s="2" t="inlineStr">
        <is>
          <t>False</t>
        </is>
      </c>
      <c r="I17" s="2" t="n">
        <v>185</v>
      </c>
      <c r="J17" s="2" t="n">
        <v>151</v>
      </c>
      <c r="K17" s="2" t="n">
        <v>-34</v>
      </c>
      <c r="L17" s="2" t="n">
        <v>-0.1837837837837838</v>
      </c>
      <c r="M17" s="2" t="n">
        <v>159</v>
      </c>
      <c r="N17" s="2" t="inlineStr">
        <is>
          <t>2026:1g@57.0</t>
        </is>
      </c>
      <c r="O17" s="2" t="n">
        <v>1</v>
      </c>
      <c r="P17" s="2" t="n">
        <v>1</v>
      </c>
      <c r="Q17" s="2" t="n">
        <v>57</v>
      </c>
      <c r="R17" s="2" t="n">
        <v>2026</v>
      </c>
      <c r="S17" s="2" t="n">
        <v>2026</v>
      </c>
      <c r="T17" s="2" t="n">
        <v>0</v>
      </c>
      <c r="U17" s="2" t="inlineStr">
        <is>
          <t>-</t>
        </is>
      </c>
      <c r="V17" s="2" t="n">
        <v>0</v>
      </c>
      <c r="W17" s="2" t="n">
        <v>225.67</v>
      </c>
      <c r="X17" s="2" t="n">
        <v>0.70447</v>
      </c>
      <c r="Y17" s="2" t="n">
        <v>1</v>
      </c>
      <c r="Z17" s="2" t="n">
        <v>1.1364</v>
      </c>
      <c r="AA17" s="2" t="n">
        <v>1.1364</v>
      </c>
      <c r="AB17" s="2" t="n">
        <v>0.205409</v>
      </c>
      <c r="AC17" s="2" t="n">
        <v>0.103234</v>
      </c>
      <c r="AD17" s="2" t="n">
        <v>6e-05</v>
      </c>
      <c r="AE17" s="2" t="n">
        <v>0.130625</v>
      </c>
      <c r="AF17" s="2" t="n">
        <v>1</v>
      </c>
      <c r="AG17" s="2" t="n">
        <v>0.130625</v>
      </c>
      <c r="AH17" s="2" t="n">
        <v>522.4400000000001</v>
      </c>
      <c r="AI17" s="2" t="n">
        <v>158.97</v>
      </c>
      <c r="AJ17" s="2" t="n">
        <v>3.2863</v>
      </c>
      <c r="AK17" s="2" t="n">
        <v>1.189762</v>
      </c>
      <c r="AL17" s="2" t="n">
        <v>0.7916069999999999</v>
      </c>
      <c r="AM17" s="2" t="n">
        <v>4.709123</v>
      </c>
      <c r="AN17" s="2" t="n">
        <v>1.434688</v>
      </c>
      <c r="AO17" s="2" t="n">
        <v>6.14381</v>
      </c>
      <c r="AP17" s="2" t="inlineStr">
        <is>
          <t>True</t>
        </is>
      </c>
    </row>
    <row r="18">
      <c r="A18" s="2" t="inlineStr">
        <is>
          <t>luke-kennedy</t>
        </is>
      </c>
      <c r="B18" s="2" t="inlineStr">
        <is>
          <t>Luke Kennedy</t>
        </is>
      </c>
      <c r="C18" s="2" t="inlineStr">
        <is>
          <t>MID</t>
        </is>
      </c>
      <c r="D18" s="2" t="inlineStr">
        <is>
          <t>ND pick 62</t>
        </is>
      </c>
      <c r="E18" s="2" t="n">
        <v>62</v>
      </c>
      <c r="F18" s="2" t="n">
        <v>2024</v>
      </c>
      <c r="G18" s="2" t="inlineStr">
        <is>
          <t>ND</t>
        </is>
      </c>
      <c r="H18" s="2" t="inlineStr">
        <is>
          <t>False</t>
        </is>
      </c>
      <c r="I18" s="2" t="n">
        <v>293</v>
      </c>
      <c r="J18" s="2" t="n">
        <v>241</v>
      </c>
      <c r="K18" s="2" t="n">
        <v>-52</v>
      </c>
      <c r="L18" s="2" t="n">
        <v>-0.1774744027303754</v>
      </c>
      <c r="M18" s="2" t="n">
        <v>254</v>
      </c>
      <c r="N18" s="2" t="inlineStr">
        <is>
          <t>2026:4g@37.2</t>
        </is>
      </c>
      <c r="O18" s="2" t="n">
        <v>4</v>
      </c>
      <c r="P18" s="2" t="n">
        <v>4</v>
      </c>
      <c r="Q18" s="2" t="n">
        <v>37.25</v>
      </c>
      <c r="R18" s="2" t="n">
        <v>2025</v>
      </c>
      <c r="S18" s="2" t="n">
        <v>2026</v>
      </c>
      <c r="T18" s="2" t="n">
        <v>1</v>
      </c>
      <c r="U18" s="2" t="n">
        <v>2025</v>
      </c>
      <c r="V18" s="2" t="n">
        <v>1</v>
      </c>
      <c r="W18" s="2" t="n">
        <v>252.57</v>
      </c>
      <c r="X18" s="2" t="n">
        <v>0.41609</v>
      </c>
      <c r="Y18" s="2" t="n">
        <v>4</v>
      </c>
      <c r="Z18" s="2" t="n">
        <v>4.5455</v>
      </c>
      <c r="AA18" s="2" t="n">
        <v>4.5455</v>
      </c>
      <c r="AB18" s="2" t="n">
        <v>0.693727</v>
      </c>
      <c r="AC18" s="2" t="n">
        <v>0.583637</v>
      </c>
      <c r="AD18" s="2" t="n">
        <v>0.427416</v>
      </c>
      <c r="AE18" s="2" t="n">
        <v>0.08282</v>
      </c>
      <c r="AF18" s="2" t="n">
        <v>0.662891</v>
      </c>
      <c r="AG18" s="2" t="n">
        <v>0.054901</v>
      </c>
      <c r="AH18" s="2" t="n">
        <v>460.97</v>
      </c>
      <c r="AI18" s="2" t="n">
        <v>105.09</v>
      </c>
      <c r="AJ18" s="2" t="n">
        <v>4.3863</v>
      </c>
      <c r="AK18" s="2" t="n">
        <v>1.478495</v>
      </c>
      <c r="AL18" s="2" t="n">
        <v>0.115239</v>
      </c>
      <c r="AM18" s="2" t="n">
        <v>0.851905</v>
      </c>
      <c r="AN18" s="2" t="n">
        <v>1.47255</v>
      </c>
      <c r="AO18" s="2" t="n">
        <v>2.324455</v>
      </c>
      <c r="AP18" s="2" t="inlineStr">
        <is>
          <t>True</t>
        </is>
      </c>
    </row>
    <row r="19">
      <c r="A19" s="2" t="inlineStr">
        <is>
          <t>jay-polkinghorne</t>
        </is>
      </c>
      <c r="B19" s="2" t="inlineStr">
        <is>
          <t>Jay Polkinghorne</t>
        </is>
      </c>
      <c r="C19" s="2" t="inlineStr">
        <is>
          <t>SF</t>
        </is>
      </c>
      <c r="D19" s="2" t="inlineStr">
        <is>
          <t>ND pick 44</t>
        </is>
      </c>
      <c r="E19" s="2" t="n">
        <v>44</v>
      </c>
      <c r="F19" s="2" t="n">
        <v>2024</v>
      </c>
      <c r="G19" s="2" t="inlineStr">
        <is>
          <t>ND</t>
        </is>
      </c>
      <c r="H19" s="2" t="inlineStr">
        <is>
          <t>False</t>
        </is>
      </c>
      <c r="I19" s="2" t="n">
        <v>209</v>
      </c>
      <c r="J19" s="2" t="n">
        <v>172</v>
      </c>
      <c r="K19" s="2" t="n">
        <v>-37</v>
      </c>
      <c r="L19" s="2" t="n">
        <v>-0.1770334928229665</v>
      </c>
      <c r="M19" s="2" t="n">
        <v>181</v>
      </c>
      <c r="N19" s="2" t="inlineStr">
        <is>
          <t>2026:3g@52.7</t>
        </is>
      </c>
      <c r="O19" s="2" t="n">
        <v>3</v>
      </c>
      <c r="P19" s="2" t="n">
        <v>3</v>
      </c>
      <c r="Q19" s="2" t="n">
        <v>52.67</v>
      </c>
      <c r="R19" s="2" t="n">
        <v>2025</v>
      </c>
      <c r="S19" s="2" t="n">
        <v>2026</v>
      </c>
      <c r="T19" s="2" t="n">
        <v>1</v>
      </c>
      <c r="U19" s="2" t="n">
        <v>2025</v>
      </c>
      <c r="V19" s="2" t="n">
        <v>1</v>
      </c>
      <c r="W19" s="2" t="n">
        <v>326.29</v>
      </c>
      <c r="X19" s="2" t="n">
        <v>0.43037</v>
      </c>
      <c r="Y19" s="2" t="n">
        <v>3</v>
      </c>
      <c r="Z19" s="2" t="n">
        <v>3.4091</v>
      </c>
      <c r="AA19" s="2" t="n">
        <v>3.4091</v>
      </c>
      <c r="AB19" s="2" t="n">
        <v>0.547</v>
      </c>
      <c r="AC19" s="2" t="n">
        <v>0.417648</v>
      </c>
      <c r="AD19" s="2" t="n">
        <v>0.210625</v>
      </c>
      <c r="AE19" s="2" t="n">
        <v>0.159033</v>
      </c>
      <c r="AF19" s="2" t="n">
        <v>0.663798</v>
      </c>
      <c r="AG19" s="2" t="n">
        <v>0.105566</v>
      </c>
      <c r="AH19" s="2" t="n">
        <v>337.03</v>
      </c>
      <c r="AI19" s="2" t="n">
        <v>140.43</v>
      </c>
      <c r="AJ19" s="2" t="n">
        <v>2.4</v>
      </c>
      <c r="AK19" s="2" t="n">
        <v>0.87548</v>
      </c>
      <c r="AL19" s="2" t="n">
        <v>0.259214</v>
      </c>
      <c r="AM19" s="2" t="n">
        <v>1.134684</v>
      </c>
      <c r="AN19" s="2" t="n">
        <v>1.447217</v>
      </c>
      <c r="AO19" s="2" t="n">
        <v>2.581901</v>
      </c>
      <c r="AP19" s="2" t="inlineStr">
        <is>
          <t>True</t>
        </is>
      </c>
    </row>
    <row r="20">
      <c r="A20" s="2" t="inlineStr">
        <is>
          <t>rhys-unwin</t>
        </is>
      </c>
      <c r="B20" s="2" t="inlineStr">
        <is>
          <t>Rhys Unwin</t>
        </is>
      </c>
      <c r="C20" s="2" t="inlineStr">
        <is>
          <t>SF</t>
        </is>
      </c>
      <c r="D20" s="2" t="inlineStr">
        <is>
          <t>ND pick 61</t>
        </is>
      </c>
      <c r="E20" s="2" t="n">
        <v>61</v>
      </c>
      <c r="F20" s="2" t="n">
        <v>2024</v>
      </c>
      <c r="G20" s="2" t="inlineStr">
        <is>
          <t>ND</t>
        </is>
      </c>
      <c r="H20" s="2" t="inlineStr">
        <is>
          <t>False</t>
        </is>
      </c>
      <c r="I20" s="2" t="n">
        <v>80</v>
      </c>
      <c r="J20" s="2" t="n">
        <v>69</v>
      </c>
      <c r="K20" s="2" t="n">
        <v>-11</v>
      </c>
      <c r="L20" s="2" t="n">
        <v>-0.1375</v>
      </c>
      <c r="M20" s="2" t="n">
        <v>73</v>
      </c>
      <c r="N20" s="2" t="inlineStr">
        <is>
          <t>2025:3g@22.0; 2026:1g@37.0</t>
        </is>
      </c>
      <c r="O20" s="2" t="n">
        <v>4</v>
      </c>
      <c r="P20" s="2" t="n">
        <v>3</v>
      </c>
      <c r="Q20" s="2" t="n">
        <v>37</v>
      </c>
      <c r="R20" s="2" t="n">
        <v>2025</v>
      </c>
      <c r="S20" s="2" t="n">
        <v>2025</v>
      </c>
      <c r="T20" s="2" t="n">
        <v>0</v>
      </c>
      <c r="U20" s="2" t="inlineStr">
        <is>
          <t>-</t>
        </is>
      </c>
      <c r="V20" s="2" t="n">
        <v>0</v>
      </c>
      <c r="W20" s="2" t="n">
        <v>175.1</v>
      </c>
      <c r="X20" s="2" t="n">
        <v>0.41609</v>
      </c>
      <c r="Y20" s="2" t="n">
        <v>1</v>
      </c>
      <c r="Z20" s="2" t="n">
        <v>1.1364</v>
      </c>
      <c r="AA20" s="2" t="n">
        <v>1.1364</v>
      </c>
      <c r="AB20" s="2" t="n">
        <v>0.205409</v>
      </c>
      <c r="AC20" s="2" t="n">
        <v>0.097414</v>
      </c>
      <c r="AD20" s="2" t="n">
        <v>0.000303</v>
      </c>
      <c r="AE20" s="2" t="n">
        <v>0.086434</v>
      </c>
      <c r="AF20" s="2" t="n">
        <v>0.662891</v>
      </c>
      <c r="AG20" s="2" t="n">
        <v>0.057296</v>
      </c>
      <c r="AH20" s="2" t="n">
        <v>183.13</v>
      </c>
      <c r="AI20" s="2" t="n">
        <v>72.86</v>
      </c>
      <c r="AJ20" s="2" t="n">
        <v>2.5136</v>
      </c>
      <c r="AK20" s="2" t="n">
        <v>0.921724</v>
      </c>
      <c r="AL20" s="2" t="n">
        <v>0.7916069999999999</v>
      </c>
      <c r="AM20" s="2" t="n">
        <v>3.648216</v>
      </c>
      <c r="AN20" s="2" t="n">
        <v>1.471352</v>
      </c>
      <c r="AO20" s="2" t="n">
        <v>5.119568</v>
      </c>
      <c r="AP20" s="2" t="inlineStr">
        <is>
          <t>True</t>
        </is>
      </c>
    </row>
    <row r="21">
      <c r="A21" s="2" t="inlineStr">
        <is>
          <t>noah-roberts-thomson</t>
        </is>
      </c>
      <c r="B21" s="2" t="inlineStr">
        <is>
          <t>Noah Roberts-Thomson</t>
        </is>
      </c>
      <c r="C21" s="2" t="inlineStr">
        <is>
          <t>SF</t>
        </is>
      </c>
      <c r="D21" s="2" t="inlineStr">
        <is>
          <t>ND pick 54</t>
        </is>
      </c>
      <c r="E21" s="2" t="n">
        <v>54</v>
      </c>
      <c r="F21" s="2" t="n">
        <v>2025</v>
      </c>
      <c r="G21" s="2" t="inlineStr">
        <is>
          <t>ND</t>
        </is>
      </c>
      <c r="H21" s="2" t="inlineStr">
        <is>
          <t>False</t>
        </is>
      </c>
      <c r="I21" s="2" t="n">
        <v>182</v>
      </c>
      <c r="J21" s="2" t="n">
        <v>162</v>
      </c>
      <c r="K21" s="2" t="n">
        <v>-20</v>
      </c>
      <c r="L21" s="2" t="n">
        <v>-0.1098901098901099</v>
      </c>
      <c r="M21" s="2" t="n">
        <v>171</v>
      </c>
      <c r="N21" s="2" t="inlineStr">
        <is>
          <t>2026:3g@38.7</t>
        </is>
      </c>
      <c r="O21" s="2" t="n">
        <v>3</v>
      </c>
      <c r="P21" s="2" t="n">
        <v>3</v>
      </c>
      <c r="Q21" s="2" t="n">
        <v>38.7</v>
      </c>
      <c r="R21" s="2" t="n">
        <v>2026</v>
      </c>
      <c r="S21" s="2" t="n">
        <v>2026</v>
      </c>
      <c r="T21" s="2" t="n">
        <v>0</v>
      </c>
      <c r="U21" s="2" t="inlineStr">
        <is>
          <t>-</t>
        </is>
      </c>
      <c r="V21" s="2" t="n">
        <v>0</v>
      </c>
      <c r="W21" s="2" t="n">
        <v>222.51</v>
      </c>
      <c r="X21" s="2" t="n">
        <v>0.62769</v>
      </c>
      <c r="Y21" s="2" t="n">
        <v>3</v>
      </c>
      <c r="Z21" s="2" t="n">
        <v>3.4091</v>
      </c>
      <c r="AA21" s="2" t="n">
        <v>3.4091</v>
      </c>
      <c r="AB21" s="2" t="n">
        <v>0.547</v>
      </c>
      <c r="AC21" s="2" t="n">
        <v>0.418652</v>
      </c>
      <c r="AD21" s="2" t="n">
        <v>0.250795</v>
      </c>
      <c r="AE21" s="2" t="n">
        <v>0.113522</v>
      </c>
      <c r="AF21" s="2" t="n">
        <v>1</v>
      </c>
      <c r="AG21" s="2" t="n">
        <v>0.113522</v>
      </c>
      <c r="AH21" s="2" t="n">
        <v>268.97</v>
      </c>
      <c r="AI21" s="2" t="n">
        <v>139.67</v>
      </c>
      <c r="AJ21" s="2" t="n">
        <v>1.9257</v>
      </c>
      <c r="AK21" s="2" t="n">
        <v>0.6553060000000001</v>
      </c>
      <c r="AL21" s="2" t="n">
        <v>0.259214</v>
      </c>
      <c r="AM21" s="2" t="n">
        <v>0.8493230000000001</v>
      </c>
      <c r="AN21" s="2" t="n">
        <v>1.443239</v>
      </c>
      <c r="AO21" s="2" t="n">
        <v>2.292562</v>
      </c>
      <c r="AP21" s="2" t="inlineStr">
        <is>
          <t>True</t>
        </is>
      </c>
    </row>
    <row r="22">
      <c r="A22" s="2" t="inlineStr">
        <is>
          <t>tom-cochrane</t>
        </is>
      </c>
      <c r="B22" s="2" t="inlineStr">
        <is>
          <t>Tom Cochrane</t>
        </is>
      </c>
      <c r="C22" s="2" t="inlineStr">
        <is>
          <t>SF</t>
        </is>
      </c>
      <c r="D22" s="2" t="inlineStr">
        <is>
          <t>RD:SF (pool, effpk 65)</t>
        </is>
      </c>
      <c r="E22" s="2" t="n">
        <v>65</v>
      </c>
      <c r="F22" s="2" t="n">
        <v>2024</v>
      </c>
      <c r="G22" s="2" t="inlineStr">
        <is>
          <t>RD</t>
        </is>
      </c>
      <c r="H22" s="2" t="inlineStr">
        <is>
          <t>True</t>
        </is>
      </c>
      <c r="I22" s="2" t="n">
        <v>128</v>
      </c>
      <c r="J22" s="2" t="n">
        <v>116</v>
      </c>
      <c r="K22" s="2" t="n">
        <v>-12</v>
      </c>
      <c r="L22" s="2" t="n">
        <v>-0.09375</v>
      </c>
      <c r="M22" s="2" t="n">
        <v>122</v>
      </c>
      <c r="N22" s="2" t="inlineStr">
        <is>
          <t>2025:3g@34.0; 2026:3g@30.7</t>
        </is>
      </c>
      <c r="O22" s="2" t="n">
        <v>6</v>
      </c>
      <c r="P22" s="2" t="n">
        <v>3</v>
      </c>
      <c r="Q22" s="2" t="n">
        <v>34</v>
      </c>
      <c r="R22" s="2" t="n">
        <v>2025</v>
      </c>
      <c r="S22" s="2" t="n">
        <v>2025</v>
      </c>
      <c r="T22" s="2" t="n">
        <v>0</v>
      </c>
      <c r="U22" s="2" t="inlineStr">
        <is>
          <t>-</t>
        </is>
      </c>
      <c r="V22" s="2" t="n">
        <v>0</v>
      </c>
      <c r="W22" s="2" t="n">
        <v>243.1</v>
      </c>
      <c r="X22" s="2" t="n">
        <v>0.41609</v>
      </c>
      <c r="Y22" s="2" t="n">
        <v>3</v>
      </c>
      <c r="Z22" s="2" t="n">
        <v>3.4091</v>
      </c>
      <c r="AA22" s="2" t="n">
        <v>3.4091</v>
      </c>
      <c r="AB22" s="2" t="n">
        <v>0.547</v>
      </c>
      <c r="AC22" s="2" t="n">
        <v>0.410451</v>
      </c>
      <c r="AD22" s="2" t="n">
        <v>0.269663</v>
      </c>
      <c r="AE22" s="2" t="n">
        <v>0.07231899999999999</v>
      </c>
      <c r="AF22" s="2" t="n">
        <v>0.662891</v>
      </c>
      <c r="AG22" s="2" t="n">
        <v>0.04794</v>
      </c>
      <c r="AH22" s="2" t="n">
        <v>173.1</v>
      </c>
      <c r="AI22" s="2" t="n">
        <v>101.15</v>
      </c>
      <c r="AJ22" s="2" t="n">
        <v>1.7113</v>
      </c>
      <c r="AK22" s="2" t="n">
        <v>0.5372400000000001</v>
      </c>
      <c r="AL22" s="2" t="n">
        <v>0.259214</v>
      </c>
      <c r="AM22" s="2" t="n">
        <v>0.696302</v>
      </c>
      <c r="AN22" s="2" t="n">
        <v>1.47603</v>
      </c>
      <c r="AO22" s="2" t="n">
        <v>2.172332</v>
      </c>
      <c r="AP22" s="2" t="inlineStr">
        <is>
          <t>True</t>
        </is>
      </c>
    </row>
    <row r="23">
      <c r="A23" s="2" t="inlineStr">
        <is>
          <t>max-ramsden</t>
        </is>
      </c>
      <c r="B23" s="2" t="inlineStr">
        <is>
          <t>Max Ramsden</t>
        </is>
      </c>
      <c r="C23" s="2" t="inlineStr">
        <is>
          <t>KPF</t>
        </is>
      </c>
      <c r="D23" s="2" t="inlineStr">
        <is>
          <t>MSD (pool, effpk 65)</t>
        </is>
      </c>
      <c r="E23" s="2" t="n">
        <v>65</v>
      </c>
      <c r="F23" s="2" t="n">
        <v>2022</v>
      </c>
      <c r="G23" s="2" t="inlineStr">
        <is>
          <t>MSD</t>
        </is>
      </c>
      <c r="H23" s="2" t="inlineStr">
        <is>
          <t>True</t>
        </is>
      </c>
      <c r="I23" s="2" t="n">
        <v>113</v>
      </c>
      <c r="J23" s="2" t="n">
        <v>103</v>
      </c>
      <c r="K23" s="2" t="n">
        <v>-10</v>
      </c>
      <c r="L23" s="2" t="n">
        <v>-0.08849557522123894</v>
      </c>
      <c r="M23" s="2" t="n">
        <v>108</v>
      </c>
      <c r="N23" s="2" t="inlineStr">
        <is>
          <t>2023:2g@25.5; 2024:3g@34.0; 2025:4g@63.2; 2026:2g@40.5</t>
        </is>
      </c>
      <c r="O23" s="2" t="n">
        <v>11</v>
      </c>
      <c r="P23" s="2" t="n">
        <v>4</v>
      </c>
      <c r="Q23" s="2" t="n">
        <v>63.2</v>
      </c>
      <c r="R23" s="2" t="n">
        <v>2022</v>
      </c>
      <c r="S23" s="2" t="n">
        <v>2023</v>
      </c>
      <c r="T23" s="2" t="n">
        <v>1</v>
      </c>
      <c r="U23" s="2" t="n">
        <v>2022</v>
      </c>
      <c r="V23" s="2" t="n">
        <v>1</v>
      </c>
      <c r="W23" s="2" t="n">
        <v>300.99</v>
      </c>
      <c r="X23" s="2" t="n">
        <v>0.334</v>
      </c>
      <c r="Y23" s="2" t="n">
        <v>2</v>
      </c>
      <c r="Z23" s="2" t="n">
        <v>2.2727</v>
      </c>
      <c r="AA23" s="2" t="n">
        <v>2.2727</v>
      </c>
      <c r="AB23" s="2" t="n">
        <v>0.507727</v>
      </c>
      <c r="AC23" s="2" t="n">
        <v>0.36601</v>
      </c>
      <c r="AD23" s="2" t="n">
        <v>0.223705</v>
      </c>
      <c r="AE23" s="2" t="n">
        <v>0.07231899999999999</v>
      </c>
      <c r="AF23" s="2" t="n">
        <v>0.474118</v>
      </c>
      <c r="AG23" s="2" t="n">
        <v>0.034288</v>
      </c>
      <c r="AH23" s="2" t="n">
        <v>135.9</v>
      </c>
      <c r="AI23" s="2" t="n">
        <v>100.53</v>
      </c>
      <c r="AJ23" s="2" t="n">
        <v>1.3518</v>
      </c>
      <c r="AK23" s="2" t="n">
        <v>0.301443</v>
      </c>
      <c r="AL23" s="2" t="n">
        <v>0.48192</v>
      </c>
      <c r="AM23" s="2" t="n">
        <v>0.726356</v>
      </c>
      <c r="AN23" s="2" t="n">
        <v>1.482856</v>
      </c>
      <c r="AO23" s="2" t="n">
        <v>2.209212</v>
      </c>
      <c r="AP23" s="2" t="inlineStr">
        <is>
          <t>True</t>
        </is>
      </c>
    </row>
    <row r="24">
      <c r="A24" s="2" t="inlineStr">
        <is>
          <t>liam-reidy</t>
        </is>
      </c>
      <c r="B24" s="2" t="inlineStr">
        <is>
          <t>Liam Reidy</t>
        </is>
      </c>
      <c r="C24" s="2" t="inlineStr">
        <is>
          <t>RUCK</t>
        </is>
      </c>
      <c r="D24" s="2" t="inlineStr">
        <is>
          <t>RD:RUCK (pool, effpk 65)</t>
        </is>
      </c>
      <c r="E24" s="2" t="n">
        <v>65</v>
      </c>
      <c r="F24" s="2" t="n">
        <v>2022</v>
      </c>
      <c r="G24" s="2" t="inlineStr">
        <is>
          <t>RD</t>
        </is>
      </c>
      <c r="H24" s="2" t="inlineStr">
        <is>
          <t>True</t>
        </is>
      </c>
      <c r="I24" s="2" t="n">
        <v>304</v>
      </c>
      <c r="J24" s="2" t="n">
        <v>280</v>
      </c>
      <c r="K24" s="2" t="n">
        <v>-24</v>
      </c>
      <c r="L24" s="2" t="n">
        <v>-0.07894736842105263</v>
      </c>
      <c r="M24" s="2" t="n">
        <v>295</v>
      </c>
      <c r="N24" s="2" t="inlineStr">
        <is>
          <t>2024:2g@41.0; 2025:1g@34.0; 2026:4g@64.3</t>
        </is>
      </c>
      <c r="O24" s="2" t="n">
        <v>7</v>
      </c>
      <c r="P24" s="2" t="n">
        <v>4</v>
      </c>
      <c r="Q24" s="2" t="n">
        <v>64.28</v>
      </c>
      <c r="R24" s="2" t="n">
        <v>2023</v>
      </c>
      <c r="S24" s="2" t="n">
        <v>2024</v>
      </c>
      <c r="T24" s="2" t="n">
        <v>1</v>
      </c>
      <c r="U24" s="2" t="n">
        <v>2023</v>
      </c>
      <c r="V24" s="2" t="n">
        <v>1</v>
      </c>
      <c r="W24" s="2" t="n">
        <v>296.78</v>
      </c>
      <c r="X24" s="2" t="n">
        <v>0.594</v>
      </c>
      <c r="Y24" s="2" t="n">
        <v>4</v>
      </c>
      <c r="Z24" s="2" t="n">
        <v>4.5455</v>
      </c>
      <c r="AA24" s="2" t="n">
        <v>4.5455</v>
      </c>
      <c r="AB24" s="2" t="n">
        <v>0.693727</v>
      </c>
      <c r="AC24" s="2" t="n">
        <v>0.5833739999999999</v>
      </c>
      <c r="AD24" s="2" t="n">
        <v>0.488345</v>
      </c>
      <c r="AE24" s="2" t="n">
        <v>0.07231899999999999</v>
      </c>
      <c r="AF24" s="2" t="n">
        <v>0.725086</v>
      </c>
      <c r="AG24" s="2" t="n">
        <v>0.052438</v>
      </c>
      <c r="AH24" s="2" t="n">
        <v>409.93</v>
      </c>
      <c r="AI24" s="2" t="n">
        <v>176.29</v>
      </c>
      <c r="AJ24" s="2" t="n">
        <v>2.3254</v>
      </c>
      <c r="AK24" s="2" t="n">
        <v>0.843873</v>
      </c>
      <c r="AL24" s="2" t="n">
        <v>0.115239</v>
      </c>
      <c r="AM24" s="2" t="n">
        <v>0.486238</v>
      </c>
      <c r="AN24" s="2" t="n">
        <v>1.473781</v>
      </c>
      <c r="AO24" s="2" t="n">
        <v>1.960019</v>
      </c>
      <c r="AP24" s="2" t="inlineStr">
        <is>
          <t>True</t>
        </is>
      </c>
    </row>
    <row r="25">
      <c r="A25" s="2" t="inlineStr">
        <is>
          <t>bodie-ryan</t>
        </is>
      </c>
      <c r="B25" s="2" t="inlineStr">
        <is>
          <t>Bodie Ryan</t>
        </is>
      </c>
      <c r="C25" s="2" t="inlineStr">
        <is>
          <t>SD</t>
        </is>
      </c>
      <c r="D25" s="2" t="inlineStr">
        <is>
          <t>ND pick 46</t>
        </is>
      </c>
      <c r="E25" s="2" t="n">
        <v>46</v>
      </c>
      <c r="F25" s="2" t="n">
        <v>2023</v>
      </c>
      <c r="G25" s="2" t="inlineStr">
        <is>
          <t>ND</t>
        </is>
      </c>
      <c r="H25" s="2" t="inlineStr">
        <is>
          <t>False</t>
        </is>
      </c>
      <c r="I25" s="2" t="n">
        <v>196</v>
      </c>
      <c r="J25" s="2" t="n">
        <v>181</v>
      </c>
      <c r="K25" s="2" t="n">
        <v>-15</v>
      </c>
      <c r="L25" s="2" t="n">
        <v>-0.07653061224489796</v>
      </c>
      <c r="M25" s="2" t="n">
        <v>191</v>
      </c>
      <c r="N25" s="2" t="inlineStr">
        <is>
          <t>2026:4g@37.9</t>
        </is>
      </c>
      <c r="O25" s="2" t="n">
        <v>4</v>
      </c>
      <c r="P25" s="2" t="n">
        <v>4</v>
      </c>
      <c r="Q25" s="2" t="n">
        <v>37.88</v>
      </c>
      <c r="R25" s="2" t="n">
        <v>2024</v>
      </c>
      <c r="S25" s="2" t="n">
        <v>2026</v>
      </c>
      <c r="T25" s="2" t="n">
        <v>2</v>
      </c>
      <c r="U25" s="2" t="inlineStr">
        <is>
          <t>2024,2025</t>
        </is>
      </c>
      <c r="V25" s="2" t="n">
        <v>2</v>
      </c>
      <c r="W25" s="2" t="n">
        <v>312.21</v>
      </c>
      <c r="X25" s="2" t="n">
        <v>0.36425</v>
      </c>
      <c r="Y25" s="2" t="n">
        <v>4</v>
      </c>
      <c r="Z25" s="2" t="n">
        <v>4.5455</v>
      </c>
      <c r="AA25" s="2" t="n">
        <v>4.5455</v>
      </c>
      <c r="AB25" s="2" t="n">
        <v>0.693727</v>
      </c>
      <c r="AC25" s="2" t="n">
        <v>0.586829</v>
      </c>
      <c r="AD25" s="2" t="n">
        <v>0.491275</v>
      </c>
      <c r="AE25" s="2" t="n">
        <v>0.149155</v>
      </c>
      <c r="AF25" s="2" t="n">
        <v>0.568097</v>
      </c>
      <c r="AG25" s="2" t="n">
        <v>0.084734</v>
      </c>
      <c r="AH25" s="2" t="n">
        <v>264.34</v>
      </c>
      <c r="AI25" s="2" t="n">
        <v>113.72</v>
      </c>
      <c r="AJ25" s="2" t="n">
        <v>2.3245</v>
      </c>
      <c r="AK25" s="2" t="n">
        <v>0.843515</v>
      </c>
      <c r="AL25" s="2" t="n">
        <v>0.115239</v>
      </c>
      <c r="AM25" s="2" t="n">
        <v>0.486031</v>
      </c>
      <c r="AN25" s="2" t="n">
        <v>1.457633</v>
      </c>
      <c r="AO25" s="2" t="n">
        <v>1.943664</v>
      </c>
      <c r="AP25" s="2" t="inlineStr">
        <is>
          <t>True</t>
        </is>
      </c>
    </row>
    <row r="26">
      <c r="A26" s="2" t="inlineStr">
        <is>
          <t>cody-curtin</t>
        </is>
      </c>
      <c r="B26" s="2" t="inlineStr">
        <is>
          <t>Cody Curtin</t>
        </is>
      </c>
      <c r="C26" s="2" t="inlineStr">
        <is>
          <t>KPF</t>
        </is>
      </c>
      <c r="D26" s="2" t="inlineStr">
        <is>
          <t>ND pick 43</t>
        </is>
      </c>
      <c r="E26" s="2" t="n">
        <v>43</v>
      </c>
      <c r="F26" s="2" t="n">
        <v>2025</v>
      </c>
      <c r="G26" s="2" t="inlineStr">
        <is>
          <t>ND</t>
        </is>
      </c>
      <c r="H26" s="2" t="inlineStr">
        <is>
          <t>False</t>
        </is>
      </c>
      <c r="I26" s="2" t="n">
        <v>391</v>
      </c>
      <c r="J26" s="2" t="n">
        <v>362</v>
      </c>
      <c r="K26" s="2" t="n">
        <v>-29</v>
      </c>
      <c r="L26" s="2" t="n">
        <v>-0.07416879795396419</v>
      </c>
      <c r="M26" s="2" t="n">
        <v>381</v>
      </c>
      <c r="N26" s="2" t="inlineStr">
        <is>
          <t>2026:4g@29.8</t>
        </is>
      </c>
      <c r="O26" s="2" t="n">
        <v>4</v>
      </c>
      <c r="P26" s="2" t="n">
        <v>4</v>
      </c>
      <c r="Q26" s="2" t="n">
        <v>29.8</v>
      </c>
      <c r="R26" s="2" t="n">
        <v>2026</v>
      </c>
      <c r="S26" s="2" t="n">
        <v>2026</v>
      </c>
      <c r="T26" s="2" t="n">
        <v>0</v>
      </c>
      <c r="U26" s="2" t="inlineStr">
        <is>
          <t>-</t>
        </is>
      </c>
      <c r="V26" s="2" t="n">
        <v>0</v>
      </c>
      <c r="W26" s="2" t="n">
        <v>320.55</v>
      </c>
      <c r="X26" s="2" t="n">
        <v>0.70203</v>
      </c>
      <c r="Y26" s="2" t="n">
        <v>4</v>
      </c>
      <c r="Z26" s="2" t="n">
        <v>4.5455</v>
      </c>
      <c r="AA26" s="2" t="n">
        <v>4.5455</v>
      </c>
      <c r="AB26" s="2" t="n">
        <v>0.693727</v>
      </c>
      <c r="AC26" s="2" t="n">
        <v>0.595411</v>
      </c>
      <c r="AD26" s="2" t="n">
        <v>0.494445</v>
      </c>
      <c r="AE26" s="2" t="n">
        <v>0.164142</v>
      </c>
      <c r="AF26" s="2" t="n">
        <v>1</v>
      </c>
      <c r="AG26" s="2" t="n">
        <v>0.164142</v>
      </c>
      <c r="AH26" s="2" t="n">
        <v>543.5700000000001</v>
      </c>
      <c r="AI26" s="2" t="n">
        <v>225.04</v>
      </c>
      <c r="AJ26" s="2" t="n">
        <v>2.4155</v>
      </c>
      <c r="AK26" s="2" t="n">
        <v>0.881888</v>
      </c>
      <c r="AL26" s="2" t="n">
        <v>0.115239</v>
      </c>
      <c r="AM26" s="2" t="n">
        <v>0.508142</v>
      </c>
      <c r="AN26" s="2" t="n">
        <v>1.417929</v>
      </c>
      <c r="AO26" s="2" t="n">
        <v>1.92607</v>
      </c>
      <c r="AP26" s="2" t="inlineStr">
        <is>
          <t>True</t>
        </is>
      </c>
    </row>
    <row r="27">
      <c r="A27" s="2" t="inlineStr">
        <is>
          <t>aidan-johnson</t>
        </is>
      </c>
      <c r="B27" s="2" t="inlineStr">
        <is>
          <t>Aidan Johnson</t>
        </is>
      </c>
      <c r="C27" s="2" t="inlineStr">
        <is>
          <t>KPF</t>
        </is>
      </c>
      <c r="D27" s="2" t="inlineStr">
        <is>
          <t>ND (pool, effpk 65)</t>
        </is>
      </c>
      <c r="E27" s="2" t="n">
        <v>65</v>
      </c>
      <c r="F27" s="2" t="n">
        <v>2024</v>
      </c>
      <c r="G27" s="2" t="inlineStr">
        <is>
          <t>ND</t>
        </is>
      </c>
      <c r="H27" s="2" t="inlineStr">
        <is>
          <t>True</t>
        </is>
      </c>
      <c r="I27" s="2" t="n">
        <v>77</v>
      </c>
      <c r="J27" s="2" t="n">
        <v>82</v>
      </c>
      <c r="K27" s="2" t="n">
        <v>5</v>
      </c>
      <c r="L27" s="2" t="n">
        <v>0.06493506493506493</v>
      </c>
      <c r="M27" s="2" t="n">
        <v>86</v>
      </c>
      <c r="N27" s="2" t="inlineStr">
        <is>
          <t>2025:5g@37.6; 2026:1g@34.0</t>
        </is>
      </c>
      <c r="O27" s="2" t="n">
        <v>6</v>
      </c>
      <c r="P27" s="2" t="n">
        <v>5</v>
      </c>
      <c r="Q27" s="2" t="n">
        <v>37.6</v>
      </c>
      <c r="R27" s="2" t="n">
        <v>2025</v>
      </c>
      <c r="S27" s="2" t="n">
        <v>2025</v>
      </c>
      <c r="T27" s="2" t="n">
        <v>0</v>
      </c>
      <c r="U27" s="2" t="inlineStr">
        <is>
          <t>-</t>
        </is>
      </c>
      <c r="V27" s="2" t="n">
        <v>0</v>
      </c>
      <c r="W27" s="2" t="n">
        <v>191.54</v>
      </c>
      <c r="X27" s="2" t="n">
        <v>0.448</v>
      </c>
      <c r="Y27" s="2" t="n">
        <v>1</v>
      </c>
      <c r="Z27" s="2" t="n">
        <v>1.1364</v>
      </c>
      <c r="AA27" s="2" t="n">
        <v>1.1364</v>
      </c>
      <c r="AB27" s="2" t="n">
        <v>0.205409</v>
      </c>
      <c r="AC27" s="2" t="n">
        <v>0.09654600000000001</v>
      </c>
      <c r="AD27" s="2" t="n">
        <v>1.8e-05</v>
      </c>
      <c r="AE27" s="2" t="n">
        <v>0.07231899999999999</v>
      </c>
      <c r="AF27" s="2" t="n">
        <v>0.635949</v>
      </c>
      <c r="AG27" s="2" t="n">
        <v>0.045991</v>
      </c>
      <c r="AH27" s="2" t="n">
        <v>21.87</v>
      </c>
      <c r="AI27" s="2" t="n">
        <v>85.81</v>
      </c>
      <c r="AJ27" s="2" t="n">
        <v>0.2548</v>
      </c>
      <c r="AK27" s="2" t="n">
        <v>1.36717</v>
      </c>
      <c r="AL27" s="2" t="n">
        <v>0.7916069999999999</v>
      </c>
      <c r="AM27" s="2" t="n">
        <v>5.41131</v>
      </c>
      <c r="AN27" s="2" t="n">
        <v>1.477004</v>
      </c>
      <c r="AO27" s="2" t="n">
        <v>6.888314</v>
      </c>
      <c r="AP27" s="2" t="inlineStr">
        <is>
          <t>True</t>
        </is>
      </c>
    </row>
    <row r="28">
      <c r="A28" s="2" t="inlineStr">
        <is>
          <t>cameron-nairn</t>
        </is>
      </c>
      <c r="B28" s="2" t="inlineStr">
        <is>
          <t>Cameron Nairn</t>
        </is>
      </c>
      <c r="C28" s="2" t="inlineStr">
        <is>
          <t>SF</t>
        </is>
      </c>
      <c r="D28" s="2" t="inlineStr">
        <is>
          <t>ND pick 20</t>
        </is>
      </c>
      <c r="E28" s="2" t="n">
        <v>20</v>
      </c>
      <c r="F28" s="2" t="n">
        <v>2025</v>
      </c>
      <c r="G28" s="2" t="inlineStr">
        <is>
          <t>ND</t>
        </is>
      </c>
      <c r="H28" s="2" t="inlineStr">
        <is>
          <t>False</t>
        </is>
      </c>
      <c r="I28" s="2" t="n">
        <v>444</v>
      </c>
      <c r="J28" s="2" t="n">
        <v>471</v>
      </c>
      <c r="K28" s="2" t="n">
        <v>27</v>
      </c>
      <c r="L28" s="2" t="n">
        <v>0.06081081081081081</v>
      </c>
      <c r="M28" s="2" t="n">
        <v>496</v>
      </c>
      <c r="N28" s="2" t="inlineStr">
        <is>
          <t>2026:3g@42.8</t>
        </is>
      </c>
      <c r="O28" s="2" t="n">
        <v>3</v>
      </c>
      <c r="P28" s="2" t="n">
        <v>3</v>
      </c>
      <c r="Q28" s="2" t="n">
        <v>42.8</v>
      </c>
      <c r="R28" s="2" t="n">
        <v>2026</v>
      </c>
      <c r="S28" s="2" t="n">
        <v>2026</v>
      </c>
      <c r="T28" s="2" t="n">
        <v>0</v>
      </c>
      <c r="U28" s="2" t="inlineStr">
        <is>
          <t>-</t>
        </is>
      </c>
      <c r="V28" s="2" t="n">
        <v>0</v>
      </c>
      <c r="W28" s="2" t="n">
        <v>760.16</v>
      </c>
      <c r="X28" s="2" t="n">
        <v>0.73825</v>
      </c>
      <c r="Y28" s="2" t="n">
        <v>3</v>
      </c>
      <c r="Z28" s="2" t="n">
        <v>3.4091</v>
      </c>
      <c r="AA28" s="2" t="n">
        <v>3.4091</v>
      </c>
      <c r="AB28" s="2" t="n">
        <v>0.547</v>
      </c>
      <c r="AC28" s="2" t="n">
        <v>0.447477</v>
      </c>
      <c r="AD28" s="2" t="n">
        <v>0.311925</v>
      </c>
      <c r="AE28" s="2" t="n">
        <v>0.334254</v>
      </c>
      <c r="AF28" s="2" t="n">
        <v>1</v>
      </c>
      <c r="AG28" s="2" t="n">
        <v>0.334254</v>
      </c>
      <c r="AH28" s="2" t="n">
        <v>353.74</v>
      </c>
      <c r="AI28" s="2" t="n">
        <v>561.1900000000001</v>
      </c>
      <c r="AJ28" s="2" t="n">
        <v>0.6303</v>
      </c>
      <c r="AK28" s="2" t="n">
        <v>0.461501</v>
      </c>
      <c r="AL28" s="2" t="n">
        <v>0.259214</v>
      </c>
      <c r="AM28" s="2" t="n">
        <v>0.5981379999999999</v>
      </c>
      <c r="AN28" s="2" t="n">
        <v>1.332873</v>
      </c>
      <c r="AO28" s="2" t="n">
        <v>1.931011</v>
      </c>
      <c r="AP28" s="2" t="inlineStr">
        <is>
          <t>True</t>
        </is>
      </c>
    </row>
    <row r="29">
      <c r="A29" s="2" t="inlineStr">
        <is>
          <t>oscar-ryan</t>
        </is>
      </c>
      <c r="B29" s="2" t="inlineStr">
        <is>
          <t>Oscar Ryan</t>
        </is>
      </c>
      <c r="C29" s="2" t="inlineStr">
        <is>
          <t>SD</t>
        </is>
      </c>
      <c r="D29" s="2" t="inlineStr">
        <is>
          <t>ND pick 27</t>
        </is>
      </c>
      <c r="E29" s="2" t="n">
        <v>27</v>
      </c>
      <c r="F29" s="2" t="n">
        <v>2023</v>
      </c>
      <c r="G29" s="2" t="inlineStr">
        <is>
          <t>ND</t>
        </is>
      </c>
      <c r="H29" s="2" t="inlineStr">
        <is>
          <t>False</t>
        </is>
      </c>
      <c r="I29" s="2" t="n">
        <v>257</v>
      </c>
      <c r="J29" s="2" t="n">
        <v>242</v>
      </c>
      <c r="K29" s="2" t="n">
        <v>-15</v>
      </c>
      <c r="L29" s="2" t="n">
        <v>-0.05836575875486381</v>
      </c>
      <c r="M29" s="2" t="n">
        <v>255</v>
      </c>
      <c r="N29" s="2" t="inlineStr">
        <is>
          <t>2026:1g@96.0</t>
        </is>
      </c>
      <c r="O29" s="2" t="n">
        <v>1</v>
      </c>
      <c r="P29" s="2" t="n">
        <v>1</v>
      </c>
      <c r="Q29" s="2" t="n">
        <v>96</v>
      </c>
      <c r="R29" s="2" t="n">
        <v>2024</v>
      </c>
      <c r="S29" s="2" t="n">
        <v>2026</v>
      </c>
      <c r="T29" s="2" t="n">
        <v>2</v>
      </c>
      <c r="U29" s="2" t="inlineStr">
        <is>
          <t>2024,2025</t>
        </is>
      </c>
      <c r="V29" s="2" t="n">
        <v>2</v>
      </c>
      <c r="W29" s="2" t="n">
        <v>587.05</v>
      </c>
      <c r="X29" s="2" t="n">
        <v>0.43274</v>
      </c>
      <c r="Y29" s="2" t="n">
        <v>1</v>
      </c>
      <c r="Z29" s="2" t="n">
        <v>1.1364</v>
      </c>
      <c r="AA29" s="2" t="n">
        <v>1.1364</v>
      </c>
      <c r="AB29" s="2" t="n">
        <v>0.205409</v>
      </c>
      <c r="AC29" s="2" t="n">
        <v>0.105776</v>
      </c>
      <c r="AD29" s="2" t="n">
        <v>0.007941</v>
      </c>
      <c r="AE29" s="2" t="n">
        <v>0.267561</v>
      </c>
      <c r="AF29" s="2" t="n">
        <v>0.603097</v>
      </c>
      <c r="AG29" s="2" t="n">
        <v>0.161365</v>
      </c>
      <c r="AH29" s="2" t="n">
        <v>384.06</v>
      </c>
      <c r="AI29" s="2" t="n">
        <v>254.04</v>
      </c>
      <c r="AJ29" s="2" t="n">
        <v>1.5118</v>
      </c>
      <c r="AK29" s="2" t="n">
        <v>0.413321</v>
      </c>
      <c r="AL29" s="2" t="n">
        <v>0.7916069999999999</v>
      </c>
      <c r="AM29" s="2" t="n">
        <v>1.635942</v>
      </c>
      <c r="AN29" s="2" t="n">
        <v>1.419317</v>
      </c>
      <c r="AO29" s="2" t="n">
        <v>3.055259</v>
      </c>
      <c r="AP29" s="2" t="inlineStr">
        <is>
          <t>True</t>
        </is>
      </c>
    </row>
    <row r="30">
      <c r="A30" s="2" t="inlineStr">
        <is>
          <t>balyn-o-brien</t>
        </is>
      </c>
      <c r="B30" s="2" t="inlineStr">
        <is>
          <t>Balyn O'Brien</t>
        </is>
      </c>
      <c r="C30" s="2" t="inlineStr">
        <is>
          <t>SD</t>
        </is>
      </c>
      <c r="D30" s="2" t="inlineStr">
        <is>
          <t>SSP (pool, effpk 65)</t>
        </is>
      </c>
      <c r="E30" s="2" t="n">
        <v>65</v>
      </c>
      <c r="F30" s="2" t="n">
        <v>2025</v>
      </c>
      <c r="G30" s="2" t="inlineStr">
        <is>
          <t>SSP</t>
        </is>
      </c>
      <c r="H30" s="2" t="inlineStr">
        <is>
          <t>True</t>
        </is>
      </c>
      <c r="I30" s="2" t="n">
        <v>191</v>
      </c>
      <c r="J30" s="2" t="n">
        <v>181</v>
      </c>
      <c r="K30" s="2" t="n">
        <v>-10</v>
      </c>
      <c r="L30" s="2" t="n">
        <v>-0.05235602094240838</v>
      </c>
      <c r="M30" s="2" t="n">
        <v>191</v>
      </c>
      <c r="N30" s="2" t="inlineStr">
        <is>
          <t>2026:3g@27.7</t>
        </is>
      </c>
      <c r="O30" s="2" t="n">
        <v>3</v>
      </c>
      <c r="P30" s="2" t="n">
        <v>3</v>
      </c>
      <c r="Q30" s="2" t="n">
        <v>27.67</v>
      </c>
      <c r="R30" s="2" t="n">
        <v>2026</v>
      </c>
      <c r="S30" s="2" t="n">
        <v>2026</v>
      </c>
      <c r="T30" s="2" t="n">
        <v>0</v>
      </c>
      <c r="U30" s="2" t="inlineStr">
        <is>
          <t>-</t>
        </is>
      </c>
      <c r="V30" s="2" t="n">
        <v>0</v>
      </c>
      <c r="W30" s="2" t="n">
        <v>265.2</v>
      </c>
      <c r="X30" s="2" t="n">
        <v>0.62769</v>
      </c>
      <c r="Y30" s="2" t="n">
        <v>3</v>
      </c>
      <c r="Z30" s="2" t="n">
        <v>3.4091</v>
      </c>
      <c r="AA30" s="2" t="n">
        <v>3.4091</v>
      </c>
      <c r="AB30" s="2" t="n">
        <v>0.547</v>
      </c>
      <c r="AC30" s="2" t="n">
        <v>0.413481</v>
      </c>
      <c r="AD30" s="2" t="n">
        <v>0.298784</v>
      </c>
      <c r="AE30" s="2" t="n">
        <v>0.07231899999999999</v>
      </c>
      <c r="AF30" s="2" t="n">
        <v>1</v>
      </c>
      <c r="AG30" s="2" t="n">
        <v>0.07231899999999999</v>
      </c>
      <c r="AH30" s="2" t="n">
        <v>252.22</v>
      </c>
      <c r="AI30" s="2" t="n">
        <v>166.47</v>
      </c>
      <c r="AJ30" s="2" t="n">
        <v>1.5151</v>
      </c>
      <c r="AK30" s="2" t="n">
        <v>0.4155</v>
      </c>
      <c r="AL30" s="2" t="n">
        <v>0.259214</v>
      </c>
      <c r="AM30" s="2" t="n">
        <v>0.5385180000000001</v>
      </c>
      <c r="AN30" s="2" t="n">
        <v>1.46384</v>
      </c>
      <c r="AO30" s="2" t="n">
        <v>2.002358</v>
      </c>
      <c r="AP30" s="2" t="inlineStr">
        <is>
          <t>True</t>
        </is>
      </c>
    </row>
    <row r="31">
      <c r="A31" s="2" t="inlineStr">
        <is>
          <t>aidan-schubert</t>
        </is>
      </c>
      <c r="B31" s="2" t="inlineStr">
        <is>
          <t>Aidan Schubert</t>
        </is>
      </c>
      <c r="C31" s="2" t="inlineStr">
        <is>
          <t>KPF</t>
        </is>
      </c>
      <c r="D31" s="2" t="inlineStr">
        <is>
          <t>ND pick 23</t>
        </is>
      </c>
      <c r="E31" s="2" t="n">
        <v>23</v>
      </c>
      <c r="F31" s="2" t="n">
        <v>2025</v>
      </c>
      <c r="G31" s="2" t="inlineStr">
        <is>
          <t>ND</t>
        </is>
      </c>
      <c r="H31" s="2" t="inlineStr">
        <is>
          <t>False</t>
        </is>
      </c>
      <c r="I31" s="2" t="n">
        <v>499</v>
      </c>
      <c r="J31" s="2" t="n">
        <v>473</v>
      </c>
      <c r="K31" s="2" t="n">
        <v>-26</v>
      </c>
      <c r="L31" s="2" t="n">
        <v>-0.05210420841683366</v>
      </c>
      <c r="M31" s="2" t="n">
        <v>498</v>
      </c>
      <c r="N31" s="2" t="inlineStr">
        <is>
          <t>2026:1g@24.0</t>
        </is>
      </c>
      <c r="O31" s="2" t="n">
        <v>1</v>
      </c>
      <c r="P31" s="2" t="n">
        <v>1</v>
      </c>
      <c r="Q31" s="2" t="n">
        <v>24</v>
      </c>
      <c r="R31" s="2" t="n">
        <v>2026</v>
      </c>
      <c r="S31" s="2" t="n">
        <v>2026</v>
      </c>
      <c r="T31" s="2" t="n">
        <v>0</v>
      </c>
      <c r="U31" s="2" t="inlineStr">
        <is>
          <t>-</t>
        </is>
      </c>
      <c r="V31" s="2" t="n">
        <v>0</v>
      </c>
      <c r="W31" s="2" t="n">
        <v>680.78</v>
      </c>
      <c r="X31" s="2" t="n">
        <v>0.7286</v>
      </c>
      <c r="Y31" s="2" t="n">
        <v>1</v>
      </c>
      <c r="Z31" s="2" t="n">
        <v>1.1364</v>
      </c>
      <c r="AA31" s="2" t="n">
        <v>1.1364</v>
      </c>
      <c r="AB31" s="2" t="n">
        <v>0.205409</v>
      </c>
      <c r="AC31" s="2" t="n">
        <v>0.118341</v>
      </c>
      <c r="AD31" s="2" t="n">
        <v>0.008831</v>
      </c>
      <c r="AE31" s="2" t="n">
        <v>0.303194</v>
      </c>
      <c r="AF31" s="2" t="n">
        <v>1</v>
      </c>
      <c r="AG31" s="2" t="n">
        <v>0.303194</v>
      </c>
      <c r="AH31" s="2" t="n">
        <v>750.62</v>
      </c>
      <c r="AI31" s="2" t="n">
        <v>496.02</v>
      </c>
      <c r="AJ31" s="2" t="n">
        <v>1.5133</v>
      </c>
      <c r="AK31" s="2" t="n">
        <v>0.414288</v>
      </c>
      <c r="AL31" s="2" t="n">
        <v>0.7916069999999999</v>
      </c>
      <c r="AM31" s="2" t="n">
        <v>1.639767</v>
      </c>
      <c r="AN31" s="2" t="n">
        <v>1.348403</v>
      </c>
      <c r="AO31" s="2" t="n">
        <v>2.98817</v>
      </c>
      <c r="AP31" s="2" t="inlineStr">
        <is>
          <t>True</t>
        </is>
      </c>
    </row>
    <row r="32">
      <c r="A32" s="2" t="inlineStr">
        <is>
          <t>william-mccabe</t>
        </is>
      </c>
      <c r="B32" s="2" t="inlineStr">
        <is>
          <t>William McCabe</t>
        </is>
      </c>
      <c r="C32" s="2" t="inlineStr">
        <is>
          <t>KPF</t>
        </is>
      </c>
      <c r="D32" s="2" t="inlineStr">
        <is>
          <t>ND pick 19</t>
        </is>
      </c>
      <c r="E32" s="2" t="n">
        <v>19</v>
      </c>
      <c r="F32" s="2" t="n">
        <v>2023</v>
      </c>
      <c r="G32" s="2" t="inlineStr">
        <is>
          <t>ND</t>
        </is>
      </c>
      <c r="H32" s="2" t="inlineStr">
        <is>
          <t>False</t>
        </is>
      </c>
      <c r="I32" s="2" t="n">
        <v>544</v>
      </c>
      <c r="J32" s="2" t="n">
        <v>516</v>
      </c>
      <c r="K32" s="2" t="n">
        <v>-28</v>
      </c>
      <c r="L32" s="2" t="n">
        <v>-0.05147058823529412</v>
      </c>
      <c r="M32" s="2" t="n">
        <v>543</v>
      </c>
      <c r="N32" s="2" t="inlineStr">
        <is>
          <t>2026:4g@31.8</t>
        </is>
      </c>
      <c r="O32" s="2" t="n">
        <v>4</v>
      </c>
      <c r="P32" s="2" t="n">
        <v>4</v>
      </c>
      <c r="Q32" s="2" t="n">
        <v>31.75</v>
      </c>
      <c r="R32" s="2" t="n">
        <v>2024</v>
      </c>
      <c r="S32" s="2" t="n">
        <v>2026</v>
      </c>
      <c r="T32" s="2" t="n">
        <v>2</v>
      </c>
      <c r="U32" s="2" t="inlineStr">
        <is>
          <t>2024,2025</t>
        </is>
      </c>
      <c r="V32" s="2" t="n">
        <v>2</v>
      </c>
      <c r="W32" s="2" t="n">
        <v>778.4400000000001</v>
      </c>
      <c r="X32" s="2" t="n">
        <v>0.46039</v>
      </c>
      <c r="Y32" s="2" t="n">
        <v>4</v>
      </c>
      <c r="Z32" s="2" t="n">
        <v>4.5455</v>
      </c>
      <c r="AA32" s="2" t="n">
        <v>4.5455</v>
      </c>
      <c r="AB32" s="2" t="n">
        <v>0.693727</v>
      </c>
      <c r="AC32" s="2" t="n">
        <v>0.600922</v>
      </c>
      <c r="AD32" s="2" t="n">
        <v>0.519768</v>
      </c>
      <c r="AE32" s="2" t="n">
        <v>0.345653</v>
      </c>
      <c r="AF32" s="2" t="n">
        <v>0.620648</v>
      </c>
      <c r="AG32" s="2" t="n">
        <v>0.214528</v>
      </c>
      <c r="AH32" s="2" t="n">
        <v>713.5</v>
      </c>
      <c r="AI32" s="2" t="n">
        <v>358.39</v>
      </c>
      <c r="AJ32" s="2" t="n">
        <v>1.9909</v>
      </c>
      <c r="AK32" s="2" t="n">
        <v>0.688565</v>
      </c>
      <c r="AL32" s="2" t="n">
        <v>0.115239</v>
      </c>
      <c r="AM32" s="2" t="n">
        <v>0.396749</v>
      </c>
      <c r="AN32" s="2" t="n">
        <v>1.392736</v>
      </c>
      <c r="AO32" s="2" t="n">
        <v>1.789485</v>
      </c>
      <c r="AP32" s="2" t="inlineStr">
        <is>
          <t>True</t>
        </is>
      </c>
    </row>
    <row r="33">
      <c r="A33" s="2" t="inlineStr">
        <is>
          <t>charlie-edwards</t>
        </is>
      </c>
      <c r="B33" s="2" t="inlineStr">
        <is>
          <t>Charlie Edwards</t>
        </is>
      </c>
      <c r="C33" s="2" t="inlineStr">
        <is>
          <t>MID</t>
        </is>
      </c>
      <c r="D33" s="2" t="inlineStr">
        <is>
          <t>ND pick 21</t>
        </is>
      </c>
      <c r="E33" s="2" t="n">
        <v>21</v>
      </c>
      <c r="F33" s="2" t="n">
        <v>2023</v>
      </c>
      <c r="G33" s="2" t="inlineStr">
        <is>
          <t>ND</t>
        </is>
      </c>
      <c r="H33" s="2" t="inlineStr">
        <is>
          <t>False</t>
        </is>
      </c>
      <c r="I33" s="2" t="n">
        <v>580</v>
      </c>
      <c r="J33" s="2" t="n">
        <v>553</v>
      </c>
      <c r="K33" s="2" t="n">
        <v>-27</v>
      </c>
      <c r="L33" s="2" t="n">
        <v>-0.04655172413793104</v>
      </c>
      <c r="M33" s="2" t="n">
        <v>582</v>
      </c>
      <c r="N33" s="2" t="inlineStr">
        <is>
          <t>2026:2g@47.5</t>
        </is>
      </c>
      <c r="O33" s="2" t="n">
        <v>2</v>
      </c>
      <c r="P33" s="2" t="n">
        <v>2</v>
      </c>
      <c r="Q33" s="2" t="n">
        <v>47.5</v>
      </c>
      <c r="R33" s="2" t="n">
        <v>2024</v>
      </c>
      <c r="S33" s="2" t="n">
        <v>2026</v>
      </c>
      <c r="T33" s="2" t="n">
        <v>2</v>
      </c>
      <c r="U33" s="2" t="inlineStr">
        <is>
          <t>2024,2025</t>
        </is>
      </c>
      <c r="V33" s="2" t="n">
        <v>2</v>
      </c>
      <c r="W33" s="2" t="n">
        <v>1186.98</v>
      </c>
      <c r="X33" s="2" t="n">
        <v>0.45252</v>
      </c>
      <c r="Y33" s="2" t="n">
        <v>2</v>
      </c>
      <c r="Z33" s="2" t="n">
        <v>2.2727</v>
      </c>
      <c r="AA33" s="2" t="n">
        <v>2.2727</v>
      </c>
      <c r="AB33" s="2" t="n">
        <v>0.507727</v>
      </c>
      <c r="AC33" s="2" t="n">
        <v>0.387041</v>
      </c>
      <c r="AD33" s="2" t="n">
        <v>0.244915</v>
      </c>
      <c r="AE33" s="2" t="n">
        <v>0.323411</v>
      </c>
      <c r="AF33" s="2" t="n">
        <v>0.615767</v>
      </c>
      <c r="AG33" s="2" t="n">
        <v>0.199146</v>
      </c>
      <c r="AH33" s="2" t="n">
        <v>710.8200000000001</v>
      </c>
      <c r="AI33" s="2" t="n">
        <v>537.13</v>
      </c>
      <c r="AJ33" s="2" t="n">
        <v>1.3234</v>
      </c>
      <c r="AK33" s="2" t="n">
        <v>0.280189</v>
      </c>
      <c r="AL33" s="2" t="n">
        <v>0.48192</v>
      </c>
      <c r="AM33" s="2" t="n">
        <v>0.675143</v>
      </c>
      <c r="AN33" s="2" t="n">
        <v>1.400427</v>
      </c>
      <c r="AO33" s="2" t="n">
        <v>2.07557</v>
      </c>
      <c r="AP33" s="2" t="inlineStr">
        <is>
          <t>True</t>
        </is>
      </c>
    </row>
    <row r="34">
      <c r="A34" s="2" t="inlineStr">
        <is>
          <t>flynn-riley</t>
        </is>
      </c>
      <c r="B34" s="2" t="inlineStr">
        <is>
          <t>Flynn Riley</t>
        </is>
      </c>
      <c r="C34" s="2" t="inlineStr">
        <is>
          <t>RUCK</t>
        </is>
      </c>
      <c r="D34" s="2" t="inlineStr">
        <is>
          <t>MSD (pool, effpk 65)</t>
        </is>
      </c>
      <c r="E34" s="2" t="n">
        <v>65</v>
      </c>
      <c r="F34" s="2" t="n">
        <v>2026</v>
      </c>
      <c r="G34" s="2" t="inlineStr">
        <is>
          <t>MSD</t>
        </is>
      </c>
      <c r="H34" s="2" t="inlineStr">
        <is>
          <t>True</t>
        </is>
      </c>
      <c r="I34" s="2" t="n">
        <v>247</v>
      </c>
      <c r="J34" s="2" t="n">
        <v>236</v>
      </c>
      <c r="K34" s="2" t="n">
        <v>-11</v>
      </c>
      <c r="L34" s="2" t="n">
        <v>-0.04453441295546558</v>
      </c>
      <c r="M34" s="2" t="n">
        <v>248</v>
      </c>
      <c r="N34" s="2" t="inlineStr">
        <is>
          <t>2026:1g@80.0</t>
        </is>
      </c>
      <c r="O34" s="2" t="n">
        <v>1</v>
      </c>
      <c r="P34" s="2" t="n">
        <v>1</v>
      </c>
      <c r="Q34" s="2" t="n">
        <v>80</v>
      </c>
      <c r="R34" s="2" t="n">
        <v>2026</v>
      </c>
      <c r="S34" s="2" t="n">
        <v>2026</v>
      </c>
      <c r="T34" s="2" t="n">
        <v>0</v>
      </c>
      <c r="U34" s="2" t="inlineStr">
        <is>
          <t>-</t>
        </is>
      </c>
      <c r="V34" s="2" t="n">
        <v>0</v>
      </c>
      <c r="W34" s="2" t="n">
        <v>300.99</v>
      </c>
      <c r="X34" s="2" t="n">
        <v>0.81921</v>
      </c>
      <c r="Y34" s="2" t="n">
        <v>1</v>
      </c>
      <c r="Z34" s="2" t="n">
        <v>1.1364</v>
      </c>
      <c r="AA34" s="2" t="n">
        <v>1.1364</v>
      </c>
      <c r="AB34" s="2" t="n">
        <v>0.205409</v>
      </c>
      <c r="AC34" s="2" t="n">
        <v>0.098579</v>
      </c>
      <c r="AD34" s="2" t="n">
        <v>0.010066</v>
      </c>
      <c r="AE34" s="2" t="n">
        <v>0.07231899999999999</v>
      </c>
      <c r="AF34" s="2" t="n">
        <v>1</v>
      </c>
      <c r="AG34" s="2" t="n">
        <v>0.07231899999999999</v>
      </c>
      <c r="AH34" s="2" t="n">
        <v>354.91</v>
      </c>
      <c r="AI34" s="2" t="n">
        <v>246.57</v>
      </c>
      <c r="AJ34" s="2" t="n">
        <v>1.4394</v>
      </c>
      <c r="AK34" s="2" t="n">
        <v>0.364213</v>
      </c>
      <c r="AL34" s="2" t="n">
        <v>0.7916069999999999</v>
      </c>
      <c r="AM34" s="2" t="n">
        <v>1.441569</v>
      </c>
      <c r="AN34" s="2" t="n">
        <v>1.46384</v>
      </c>
      <c r="AO34" s="2" t="n">
        <v>2.90541</v>
      </c>
      <c r="AP34" s="2" t="inlineStr">
        <is>
          <t>True</t>
        </is>
      </c>
    </row>
    <row r="35">
      <c r="A35" s="2" t="inlineStr">
        <is>
          <t>zane-peucker</t>
        </is>
      </c>
      <c r="B35" s="2" t="inlineStr">
        <is>
          <t>Zane Peucker</t>
        </is>
      </c>
      <c r="C35" s="2" t="inlineStr">
        <is>
          <t>SF</t>
        </is>
      </c>
      <c r="D35" s="2" t="inlineStr">
        <is>
          <t>ND pick 31</t>
        </is>
      </c>
      <c r="E35" s="2" t="n">
        <v>31</v>
      </c>
      <c r="F35" s="2" t="n">
        <v>2025</v>
      </c>
      <c r="G35" s="2" t="inlineStr">
        <is>
          <t>ND</t>
        </is>
      </c>
      <c r="H35" s="2" t="inlineStr">
        <is>
          <t>False</t>
        </is>
      </c>
      <c r="I35" s="2" t="n">
        <v>287</v>
      </c>
      <c r="J35" s="2" t="n">
        <v>299</v>
      </c>
      <c r="K35" s="2" t="n">
        <v>12</v>
      </c>
      <c r="L35" s="2" t="n">
        <v>0.04181184668989547</v>
      </c>
      <c r="M35" s="2" t="n">
        <v>315</v>
      </c>
      <c r="N35" s="2" t="inlineStr">
        <is>
          <t>2026:2g@40.5</t>
        </is>
      </c>
      <c r="O35" s="2" t="n">
        <v>2</v>
      </c>
      <c r="P35" s="2" t="n">
        <v>2</v>
      </c>
      <c r="Q35" s="2" t="n">
        <v>40.5</v>
      </c>
      <c r="R35" s="2" t="n">
        <v>2026</v>
      </c>
      <c r="S35" s="2" t="n">
        <v>2026</v>
      </c>
      <c r="T35" s="2" t="n">
        <v>0</v>
      </c>
      <c r="U35" s="2" t="inlineStr">
        <is>
          <t>-</t>
        </is>
      </c>
      <c r="V35" s="2" t="n">
        <v>0</v>
      </c>
      <c r="W35" s="2" t="n">
        <v>475.58</v>
      </c>
      <c r="X35" s="2" t="n">
        <v>0.70495</v>
      </c>
      <c r="Y35" s="2" t="n">
        <v>2</v>
      </c>
      <c r="Z35" s="2" t="n">
        <v>2.2727</v>
      </c>
      <c r="AA35" s="2" t="n">
        <v>2.2727</v>
      </c>
      <c r="AB35" s="2" t="n">
        <v>0.507727</v>
      </c>
      <c r="AC35" s="2" t="n">
        <v>0.39202</v>
      </c>
      <c r="AD35" s="2" t="n">
        <v>0.247813</v>
      </c>
      <c r="AE35" s="2" t="n">
        <v>0.236859</v>
      </c>
      <c r="AF35" s="2" t="n">
        <v>1</v>
      </c>
      <c r="AG35" s="2" t="n">
        <v>0.236859</v>
      </c>
      <c r="AH35" s="2" t="n">
        <v>253.18</v>
      </c>
      <c r="AI35" s="2" t="n">
        <v>335.26</v>
      </c>
      <c r="AJ35" s="2" t="n">
        <v>0.7552</v>
      </c>
      <c r="AK35" s="2" t="n">
        <v>0.280813</v>
      </c>
      <c r="AL35" s="2" t="n">
        <v>0.48192</v>
      </c>
      <c r="AM35" s="2" t="n">
        <v>0.676646</v>
      </c>
      <c r="AN35" s="2" t="n">
        <v>1.38157</v>
      </c>
      <c r="AO35" s="2" t="n">
        <v>2.058217</v>
      </c>
      <c r="AP35" s="2" t="inlineStr">
        <is>
          <t>True</t>
        </is>
      </c>
    </row>
    <row r="36">
      <c r="A36" s="2" t="inlineStr">
        <is>
          <t>ollie-greeves</t>
        </is>
      </c>
      <c r="B36" s="2" t="inlineStr">
        <is>
          <t>Ollie Greeves</t>
        </is>
      </c>
      <c r="C36" s="2" t="inlineStr">
        <is>
          <t>MID</t>
        </is>
      </c>
      <c r="D36" s="2" t="inlineStr">
        <is>
          <t>RD:MID (pool, effpk 65)</t>
        </is>
      </c>
      <c r="E36" s="2" t="n">
        <v>65</v>
      </c>
      <c r="F36" s="2" t="n">
        <v>2025</v>
      </c>
      <c r="G36" s="2" t="inlineStr">
        <is>
          <t>RD</t>
        </is>
      </c>
      <c r="H36" s="2" t="inlineStr">
        <is>
          <t>True</t>
        </is>
      </c>
      <c r="I36" s="2" t="n">
        <v>269</v>
      </c>
      <c r="J36" s="2" t="n">
        <v>259</v>
      </c>
      <c r="K36" s="2" t="n">
        <v>-10</v>
      </c>
      <c r="L36" s="2" t="n">
        <v>-0.03717472118959108</v>
      </c>
      <c r="M36" s="2" t="n">
        <v>273</v>
      </c>
      <c r="N36" s="2" t="inlineStr">
        <is>
          <t>2026:4g@44.0</t>
        </is>
      </c>
      <c r="O36" s="2" t="n">
        <v>4</v>
      </c>
      <c r="P36" s="2" t="n">
        <v>4</v>
      </c>
      <c r="Q36" s="2" t="n">
        <v>44</v>
      </c>
      <c r="R36" s="2" t="n">
        <v>2026</v>
      </c>
      <c r="S36" s="2" t="n">
        <v>2026</v>
      </c>
      <c r="T36" s="2" t="n">
        <v>0</v>
      </c>
      <c r="U36" s="2" t="inlineStr">
        <is>
          <t>-</t>
        </is>
      </c>
      <c r="V36" s="2" t="n">
        <v>0</v>
      </c>
      <c r="W36" s="2" t="n">
        <v>309.41</v>
      </c>
      <c r="X36" s="2" t="n">
        <v>0.62769</v>
      </c>
      <c r="Y36" s="2" t="n">
        <v>4</v>
      </c>
      <c r="Z36" s="2" t="n">
        <v>4.5455</v>
      </c>
      <c r="AA36" s="2" t="n">
        <v>4.5455</v>
      </c>
      <c r="AB36" s="2" t="n">
        <v>0.693727</v>
      </c>
      <c r="AC36" s="2" t="n">
        <v>0.585498</v>
      </c>
      <c r="AD36" s="2" t="n">
        <v>0.517478</v>
      </c>
      <c r="AE36" s="2" t="n">
        <v>0.07231899999999999</v>
      </c>
      <c r="AF36" s="2" t="n">
        <v>1</v>
      </c>
      <c r="AG36" s="2" t="n">
        <v>0.07231899999999999</v>
      </c>
      <c r="AH36" s="2" t="n">
        <v>349</v>
      </c>
      <c r="AI36" s="2" t="n">
        <v>194.21</v>
      </c>
      <c r="AJ36" s="2" t="n">
        <v>1.797</v>
      </c>
      <c r="AK36" s="2" t="n">
        <v>0.5861150000000001</v>
      </c>
      <c r="AL36" s="2" t="n">
        <v>0.115239</v>
      </c>
      <c r="AM36" s="2" t="n">
        <v>0.337718</v>
      </c>
      <c r="AN36" s="2" t="n">
        <v>1.46384</v>
      </c>
      <c r="AO36" s="2" t="n">
        <v>1.801558</v>
      </c>
      <c r="AP36" s="2" t="inlineStr">
        <is>
          <t>True</t>
        </is>
      </c>
    </row>
    <row r="37">
      <c r="A37" s="2" t="inlineStr">
        <is>
          <t>liam-puncher</t>
        </is>
      </c>
      <c r="B37" s="2" t="inlineStr">
        <is>
          <t>Liam Puncher</t>
        </is>
      </c>
      <c r="C37" s="2" t="inlineStr">
        <is>
          <t>KPD</t>
        </is>
      </c>
      <c r="D37" s="2" t="inlineStr">
        <is>
          <t>MSD (pool, effpk 65)</t>
        </is>
      </c>
      <c r="E37" s="2" t="n">
        <v>65</v>
      </c>
      <c r="F37" s="2" t="n">
        <v>2026</v>
      </c>
      <c r="G37" s="2" t="inlineStr">
        <is>
          <t>MSD</t>
        </is>
      </c>
      <c r="H37" s="2" t="inlineStr">
        <is>
          <t>True</t>
        </is>
      </c>
      <c r="I37" s="2" t="n">
        <v>57</v>
      </c>
      <c r="J37" s="2" t="n">
        <v>59</v>
      </c>
      <c r="K37" s="2" t="n">
        <v>2</v>
      </c>
      <c r="L37" s="2" t="n">
        <v>0.03508771929824561</v>
      </c>
      <c r="M37" s="2" t="n">
        <v>62</v>
      </c>
      <c r="N37" s="2" t="inlineStr">
        <is>
          <t>2026:5g@37.8</t>
        </is>
      </c>
      <c r="O37" s="2" t="n">
        <v>5</v>
      </c>
      <c r="P37" s="2" t="n">
        <v>5</v>
      </c>
      <c r="Q37" s="2" t="n">
        <v>37.8</v>
      </c>
      <c r="R37" s="2" t="n">
        <v>2026</v>
      </c>
      <c r="S37" s="2" t="n">
        <v>2026</v>
      </c>
      <c r="T37" s="2" t="n">
        <v>0</v>
      </c>
      <c r="U37" s="2" t="inlineStr">
        <is>
          <t>-</t>
        </is>
      </c>
      <c r="V37" s="2" t="n">
        <v>0</v>
      </c>
      <c r="W37" s="2" t="n">
        <v>300.99</v>
      </c>
      <c r="X37" s="2" t="n">
        <v>0.70447</v>
      </c>
      <c r="Y37" s="2" t="n">
        <v>5</v>
      </c>
      <c r="Z37" s="2" t="n">
        <v>5.6818</v>
      </c>
      <c r="AA37" s="2" t="n">
        <v>5.6818</v>
      </c>
      <c r="AB37" s="2" t="n">
        <v>0.941455</v>
      </c>
      <c r="AC37" s="2" t="n">
        <v>0.915475</v>
      </c>
      <c r="AD37" s="2" t="n">
        <v>0.905076</v>
      </c>
      <c r="AE37" s="2" t="n">
        <v>0.07231899999999999</v>
      </c>
      <c r="AF37" s="2" t="n">
        <v>1</v>
      </c>
      <c r="AG37" s="2" t="n">
        <v>0.07231899999999999</v>
      </c>
      <c r="AH37" s="2" t="n">
        <v>33.63</v>
      </c>
      <c r="AI37" s="2" t="n">
        <v>212.03</v>
      </c>
      <c r="AJ37" s="2" t="n">
        <v>0.1586</v>
      </c>
      <c r="AK37" s="2" t="n">
        <v>1.841271</v>
      </c>
      <c r="AL37" s="2" t="n">
        <v>0.020568</v>
      </c>
      <c r="AM37" s="2" t="n">
        <v>0.189355</v>
      </c>
      <c r="AN37" s="2" t="n">
        <v>1.46384</v>
      </c>
      <c r="AO37" s="2" t="n">
        <v>1.653195</v>
      </c>
      <c r="AP37" s="2" t="inlineStr">
        <is>
          <t>True</t>
        </is>
      </c>
    </row>
    <row r="38">
      <c r="A38" s="2" t="inlineStr">
        <is>
          <t>oliver-francou</t>
        </is>
      </c>
      <c r="B38" s="2" t="inlineStr">
        <is>
          <t>Oliver Francou</t>
        </is>
      </c>
      <c r="C38" s="2" t="inlineStr">
        <is>
          <t>MID</t>
        </is>
      </c>
      <c r="D38" s="2" t="inlineStr">
        <is>
          <t>MSD (pool, effpk 65)</t>
        </is>
      </c>
      <c r="E38" s="2" t="n">
        <v>65</v>
      </c>
      <c r="F38" s="2" t="n">
        <v>2026</v>
      </c>
      <c r="G38" s="2" t="inlineStr">
        <is>
          <t>MSD</t>
        </is>
      </c>
      <c r="H38" s="2" t="inlineStr">
        <is>
          <t>True</t>
        </is>
      </c>
      <c r="I38" s="2" t="n">
        <v>258</v>
      </c>
      <c r="J38" s="2" t="n">
        <v>251</v>
      </c>
      <c r="K38" s="2" t="n">
        <v>-7</v>
      </c>
      <c r="L38" s="2" t="n">
        <v>-0.02713178294573643</v>
      </c>
      <c r="M38" s="2" t="n">
        <v>264</v>
      </c>
      <c r="N38" s="2" t="inlineStr">
        <is>
          <t>2026:4g@71.5</t>
        </is>
      </c>
      <c r="O38" s="2" t="n">
        <v>4</v>
      </c>
      <c r="P38" s="2" t="n">
        <v>4</v>
      </c>
      <c r="Q38" s="2" t="n">
        <v>71.5</v>
      </c>
      <c r="R38" s="2" t="n">
        <v>2026</v>
      </c>
      <c r="S38" s="2" t="n">
        <v>2026</v>
      </c>
      <c r="T38" s="2" t="n">
        <v>0</v>
      </c>
      <c r="U38" s="2" t="inlineStr">
        <is>
          <t>-</t>
        </is>
      </c>
      <c r="V38" s="2" t="n">
        <v>0</v>
      </c>
      <c r="W38" s="2" t="n">
        <v>300.99</v>
      </c>
      <c r="X38" s="2" t="n">
        <v>0.62769</v>
      </c>
      <c r="Y38" s="2" t="n">
        <v>4</v>
      </c>
      <c r="Z38" s="2" t="n">
        <v>4.5455</v>
      </c>
      <c r="AA38" s="2" t="n">
        <v>4.5455</v>
      </c>
      <c r="AB38" s="2" t="n">
        <v>0.693727</v>
      </c>
      <c r="AC38" s="2" t="n">
        <v>0.585498</v>
      </c>
      <c r="AD38" s="2" t="n">
        <v>0.521167</v>
      </c>
      <c r="AE38" s="2" t="n">
        <v>0.07231899999999999</v>
      </c>
      <c r="AF38" s="2" t="n">
        <v>1</v>
      </c>
      <c r="AG38" s="2" t="n">
        <v>0.07231899999999999</v>
      </c>
      <c r="AH38" s="2" t="n">
        <v>328.25</v>
      </c>
      <c r="AI38" s="2" t="n">
        <v>188.93</v>
      </c>
      <c r="AJ38" s="2" t="n">
        <v>1.7374</v>
      </c>
      <c r="AK38" s="2" t="n">
        <v>0.552409</v>
      </c>
      <c r="AL38" s="2" t="n">
        <v>0.115239</v>
      </c>
      <c r="AM38" s="2" t="n">
        <v>0.318297</v>
      </c>
      <c r="AN38" s="2" t="n">
        <v>1.46384</v>
      </c>
      <c r="AO38" s="2" t="n">
        <v>1.782137</v>
      </c>
      <c r="AP38" s="2" t="inlineStr">
        <is>
          <t>True</t>
        </is>
      </c>
    </row>
    <row r="39">
      <c r="A39" s="2" t="inlineStr">
        <is>
          <t>matt-hill</t>
        </is>
      </c>
      <c r="B39" s="2" t="inlineStr">
        <is>
          <t>Matt Hill</t>
        </is>
      </c>
      <c r="C39" s="2" t="inlineStr">
        <is>
          <t>SF</t>
        </is>
      </c>
      <c r="D39" s="2" t="inlineStr">
        <is>
          <t>UNR (pool, effpk 65)</t>
        </is>
      </c>
      <c r="E39" s="2" t="n">
        <v>65</v>
      </c>
      <c r="F39" s="2" t="n">
        <v>2024</v>
      </c>
      <c r="G39" s="2" t="inlineStr">
        <is>
          <t>UNR</t>
        </is>
      </c>
      <c r="H39" s="2" t="inlineStr">
        <is>
          <t>True</t>
        </is>
      </c>
      <c r="I39" s="2" t="n">
        <v>42</v>
      </c>
      <c r="J39" s="2" t="n">
        <v>41</v>
      </c>
      <c r="K39" s="2" t="n">
        <v>-1</v>
      </c>
      <c r="L39" s="2" t="n">
        <v>-0.02380952380952381</v>
      </c>
      <c r="M39" s="2" t="n">
        <v>43</v>
      </c>
      <c r="N39" s="2" t="inlineStr">
        <is>
          <t>2026:2g@24.0</t>
        </is>
      </c>
      <c r="O39" s="2" t="n">
        <v>2</v>
      </c>
      <c r="P39" s="2" t="n">
        <v>2</v>
      </c>
      <c r="Q39" s="2" t="n">
        <v>24</v>
      </c>
      <c r="R39" s="2" t="n">
        <v>2025</v>
      </c>
      <c r="S39" s="2" t="n">
        <v>2026</v>
      </c>
      <c r="T39" s="2" t="n">
        <v>1</v>
      </c>
      <c r="U39" s="2" t="n">
        <v>2025</v>
      </c>
      <c r="V39" s="2" t="n">
        <v>1</v>
      </c>
      <c r="W39" s="2" t="n">
        <v>108.4</v>
      </c>
      <c r="X39" s="2" t="n">
        <v>0.41609</v>
      </c>
      <c r="Y39" s="2" t="n">
        <v>2</v>
      </c>
      <c r="Z39" s="2" t="n">
        <v>2.2727</v>
      </c>
      <c r="AA39" s="2" t="n">
        <v>2.2727</v>
      </c>
      <c r="AB39" s="2" t="n">
        <v>0.507727</v>
      </c>
      <c r="AC39" s="2" t="n">
        <v>0.367707</v>
      </c>
      <c r="AD39" s="2" t="n">
        <v>0.112516</v>
      </c>
      <c r="AE39" s="2" t="n">
        <v>0.07231899999999999</v>
      </c>
      <c r="AF39" s="2" t="n">
        <v>0.662891</v>
      </c>
      <c r="AG39" s="2" t="n">
        <v>0.04794</v>
      </c>
      <c r="AH39" s="2" t="n">
        <v>21.84</v>
      </c>
      <c r="AI39" s="2" t="n">
        <v>45.1</v>
      </c>
      <c r="AJ39" s="2" t="n">
        <v>0.4843</v>
      </c>
      <c r="AK39" s="2" t="n">
        <v>0.725051</v>
      </c>
      <c r="AL39" s="2" t="n">
        <v>0.48192</v>
      </c>
      <c r="AM39" s="2" t="n">
        <v>1.747082</v>
      </c>
      <c r="AN39" s="2" t="n">
        <v>1.47603</v>
      </c>
      <c r="AO39" s="2" t="n">
        <v>3.223112</v>
      </c>
      <c r="AP39" s="2" t="inlineStr">
        <is>
          <t>True</t>
        </is>
      </c>
    </row>
    <row r="40">
      <c r="A40" s="2" t="inlineStr">
        <is>
          <t>charlie-banfield</t>
        </is>
      </c>
      <c r="B40" s="2" t="inlineStr">
        <is>
          <t>Charlie Banfield</t>
        </is>
      </c>
      <c r="C40" s="2" t="inlineStr">
        <is>
          <t>MID</t>
        </is>
      </c>
      <c r="D40" s="2" t="inlineStr">
        <is>
          <t>ND pick 41</t>
        </is>
      </c>
      <c r="E40" s="2" t="n">
        <v>41</v>
      </c>
      <c r="F40" s="2" t="n">
        <v>2025</v>
      </c>
      <c r="G40" s="2" t="inlineStr">
        <is>
          <t>ND</t>
        </is>
      </c>
      <c r="H40" s="2" t="inlineStr">
        <is>
          <t>False</t>
        </is>
      </c>
      <c r="I40" s="2" t="n">
        <v>429</v>
      </c>
      <c r="J40" s="2" t="n">
        <v>419</v>
      </c>
      <c r="K40" s="2" t="n">
        <v>-10</v>
      </c>
      <c r="L40" s="2" t="n">
        <v>-0.02331002331002331</v>
      </c>
      <c r="M40" s="2" t="n">
        <v>441</v>
      </c>
      <c r="N40" s="2" t="inlineStr">
        <is>
          <t>2026:3g@54.3</t>
        </is>
      </c>
      <c r="O40" s="2" t="n">
        <v>3</v>
      </c>
      <c r="P40" s="2" t="n">
        <v>3</v>
      </c>
      <c r="Q40" s="2" t="n">
        <v>54.3</v>
      </c>
      <c r="R40" s="2" t="n">
        <v>2026</v>
      </c>
      <c r="S40" s="2" t="n">
        <v>2026</v>
      </c>
      <c r="T40" s="2" t="n">
        <v>0</v>
      </c>
      <c r="U40" s="2" t="inlineStr">
        <is>
          <t>-</t>
        </is>
      </c>
      <c r="V40" s="2" t="n">
        <v>0</v>
      </c>
      <c r="W40" s="2" t="n">
        <v>605.9</v>
      </c>
      <c r="X40" s="2" t="n">
        <v>0.65976</v>
      </c>
      <c r="Y40" s="2" t="n">
        <v>3</v>
      </c>
      <c r="Z40" s="2" t="n">
        <v>3.4091</v>
      </c>
      <c r="AA40" s="2" t="n">
        <v>3.4091</v>
      </c>
      <c r="AB40" s="2" t="n">
        <v>0.547</v>
      </c>
      <c r="AC40" s="2" t="n">
        <v>0.426453</v>
      </c>
      <c r="AD40" s="2" t="n">
        <v>0.344224</v>
      </c>
      <c r="AE40" s="2" t="n">
        <v>0.174727</v>
      </c>
      <c r="AF40" s="2" t="n">
        <v>1</v>
      </c>
      <c r="AG40" s="2" t="n">
        <v>0.174727</v>
      </c>
      <c r="AH40" s="2" t="n">
        <v>525.73</v>
      </c>
      <c r="AI40" s="2" t="n">
        <v>399.75</v>
      </c>
      <c r="AJ40" s="2" t="n">
        <v>1.3151</v>
      </c>
      <c r="AK40" s="2" t="n">
        <v>0.27395</v>
      </c>
      <c r="AL40" s="2" t="n">
        <v>0.259214</v>
      </c>
      <c r="AM40" s="2" t="n">
        <v>0.355059</v>
      </c>
      <c r="AN40" s="2" t="n">
        <v>1.412637</v>
      </c>
      <c r="AO40" s="2" t="n">
        <v>1.767696</v>
      </c>
      <c r="AP40" s="2" t="inlineStr">
        <is>
          <t>True</t>
        </is>
      </c>
    </row>
    <row r="41">
      <c r="A41" s="2" t="inlineStr">
        <is>
          <t>jaxon-artemis</t>
        </is>
      </c>
      <c r="B41" s="2" t="inlineStr">
        <is>
          <t>Jaxon Artemis</t>
        </is>
      </c>
      <c r="C41" s="2" t="inlineStr">
        <is>
          <t>SD</t>
        </is>
      </c>
      <c r="D41" s="2" t="inlineStr">
        <is>
          <t>MSD (pool, effpk 65)</t>
        </is>
      </c>
      <c r="E41" s="2" t="n">
        <v>65</v>
      </c>
      <c r="F41" s="2" t="n">
        <v>2026</v>
      </c>
      <c r="G41" s="2" t="inlineStr">
        <is>
          <t>MSD</t>
        </is>
      </c>
      <c r="H41" s="2" t="inlineStr">
        <is>
          <t>True</t>
        </is>
      </c>
      <c r="I41" s="2" t="n">
        <v>193</v>
      </c>
      <c r="J41" s="2" t="n">
        <v>191</v>
      </c>
      <c r="K41" s="2" t="n">
        <v>-2</v>
      </c>
      <c r="L41" s="2" t="n">
        <v>-0.01036269430051814</v>
      </c>
      <c r="M41" s="2" t="n">
        <v>201</v>
      </c>
      <c r="N41" s="2" t="inlineStr">
        <is>
          <t>2026:3g@53.0</t>
        </is>
      </c>
      <c r="O41" s="2" t="n">
        <v>3</v>
      </c>
      <c r="P41" s="2" t="n">
        <v>3</v>
      </c>
      <c r="Q41" s="2" t="n">
        <v>53</v>
      </c>
      <c r="R41" s="2" t="n">
        <v>2026</v>
      </c>
      <c r="S41" s="2" t="n">
        <v>2026</v>
      </c>
      <c r="T41" s="2" t="n">
        <v>0</v>
      </c>
      <c r="U41" s="2" t="inlineStr">
        <is>
          <t>-</t>
        </is>
      </c>
      <c r="V41" s="2" t="n">
        <v>0</v>
      </c>
      <c r="W41" s="2" t="n">
        <v>300.99</v>
      </c>
      <c r="X41" s="2" t="n">
        <v>0.62769</v>
      </c>
      <c r="Y41" s="2" t="n">
        <v>3</v>
      </c>
      <c r="Z41" s="2" t="n">
        <v>3.4091</v>
      </c>
      <c r="AA41" s="2" t="n">
        <v>3.4091</v>
      </c>
      <c r="AB41" s="2" t="n">
        <v>0.547</v>
      </c>
      <c r="AC41" s="2" t="n">
        <v>0.413481</v>
      </c>
      <c r="AD41" s="2" t="n">
        <v>0.370265</v>
      </c>
      <c r="AE41" s="2" t="n">
        <v>0.07231899999999999</v>
      </c>
      <c r="AF41" s="2" t="n">
        <v>1</v>
      </c>
      <c r="AG41" s="2" t="n">
        <v>0.07231899999999999</v>
      </c>
      <c r="AH41" s="2" t="n">
        <v>217.57</v>
      </c>
      <c r="AI41" s="2" t="n">
        <v>188.93</v>
      </c>
      <c r="AJ41" s="2" t="n">
        <v>1.1516</v>
      </c>
      <c r="AK41" s="2" t="n">
        <v>0.141179</v>
      </c>
      <c r="AL41" s="2" t="n">
        <v>0.259214</v>
      </c>
      <c r="AM41" s="2" t="n">
        <v>0.182979</v>
      </c>
      <c r="AN41" s="2" t="n">
        <v>1.46384</v>
      </c>
      <c r="AO41" s="2" t="n">
        <v>1.646819</v>
      </c>
      <c r="AP41" s="2" t="inlineStr">
        <is>
          <t>True</t>
        </is>
      </c>
    </row>
    <row r="42">
      <c r="A42" s="2" t="inlineStr">
        <is>
          <t>charlie-west</t>
        </is>
      </c>
      <c r="B42" s="2" t="inlineStr">
        <is>
          <t>Charlie West</t>
        </is>
      </c>
      <c r="C42" s="2" t="inlineStr">
        <is>
          <t>KPF</t>
        </is>
      </c>
      <c r="D42" s="2" t="inlineStr">
        <is>
          <t>ND pick 50</t>
        </is>
      </c>
      <c r="E42" s="2" t="n">
        <v>50</v>
      </c>
      <c r="F42" s="2" t="n">
        <v>2024</v>
      </c>
      <c r="G42" s="2" t="inlineStr">
        <is>
          <t>ND</t>
        </is>
      </c>
      <c r="H42" s="2" t="inlineStr">
        <is>
          <t>False</t>
        </is>
      </c>
      <c r="I42" s="2" t="n">
        <v>536</v>
      </c>
      <c r="J42" s="2" t="n">
        <v>531</v>
      </c>
      <c r="K42" s="2" t="n">
        <v>-5</v>
      </c>
      <c r="L42" s="2" t="n">
        <v>-0.009328358208955223</v>
      </c>
      <c r="M42" s="2" t="n">
        <v>559</v>
      </c>
      <c r="N42" s="2" t="inlineStr">
        <is>
          <t>2025:1g@27.0; 2026:5g@34.2</t>
        </is>
      </c>
      <c r="O42" s="2" t="n">
        <v>6</v>
      </c>
      <c r="P42" s="2" t="n">
        <v>5</v>
      </c>
      <c r="Q42" s="2" t="n">
        <v>34.2</v>
      </c>
      <c r="R42" s="2" t="n">
        <v>2025</v>
      </c>
      <c r="S42" s="2" t="n">
        <v>2025</v>
      </c>
      <c r="T42" s="2" t="n">
        <v>0</v>
      </c>
      <c r="U42" s="2" t="inlineStr">
        <is>
          <t>-</t>
        </is>
      </c>
      <c r="V42" s="2" t="n">
        <v>0</v>
      </c>
      <c r="W42" s="2" t="n">
        <v>225.67</v>
      </c>
      <c r="X42" s="2" t="n">
        <v>0.448</v>
      </c>
      <c r="Y42" s="2" t="n">
        <v>5</v>
      </c>
      <c r="Z42" s="2" t="n">
        <v>5.6818</v>
      </c>
      <c r="AA42" s="2" t="n">
        <v>5.6818</v>
      </c>
      <c r="AB42" s="2" t="n">
        <v>0.941455</v>
      </c>
      <c r="AC42" s="2" t="n">
        <v>0.915772</v>
      </c>
      <c r="AD42" s="2" t="n">
        <v>0.905537</v>
      </c>
      <c r="AE42" s="2" t="n">
        <v>0.130625</v>
      </c>
      <c r="AF42" s="2" t="n">
        <v>0.635949</v>
      </c>
      <c r="AG42" s="2" t="n">
        <v>0.08307100000000001</v>
      </c>
      <c r="AH42" s="2" t="n">
        <v>618.66</v>
      </c>
      <c r="AI42" s="2" t="n">
        <v>101.1</v>
      </c>
      <c r="AJ42" s="2" t="n">
        <v>6.1193</v>
      </c>
      <c r="AK42" s="2" t="n">
        <v>1.811445</v>
      </c>
      <c r="AL42" s="2" t="n">
        <v>0.020568</v>
      </c>
      <c r="AM42" s="2" t="n">
        <v>0.186288</v>
      </c>
      <c r="AN42" s="2" t="n">
        <v>1.458465</v>
      </c>
      <c r="AO42" s="2" t="n">
        <v>1.644752</v>
      </c>
      <c r="AP42" s="2" t="inlineStr">
        <is>
          <t>True</t>
        </is>
      </c>
    </row>
    <row r="43">
      <c r="A43" s="2" t="inlineStr">
        <is>
          <t>henry-hustwaite</t>
        </is>
      </c>
      <c r="B43" s="2" t="inlineStr">
        <is>
          <t>Henry Hustwaite</t>
        </is>
      </c>
      <c r="C43" s="2" t="inlineStr">
        <is>
          <t>MID</t>
        </is>
      </c>
      <c r="D43" s="2" t="inlineStr">
        <is>
          <t>ND pick 37</t>
        </is>
      </c>
      <c r="E43" s="2" t="n">
        <v>37</v>
      </c>
      <c r="F43" s="2" t="n">
        <v>2022</v>
      </c>
      <c r="G43" s="2" t="inlineStr">
        <is>
          <t>ND</t>
        </is>
      </c>
      <c r="H43" s="2" t="inlineStr">
        <is>
          <t>False</t>
        </is>
      </c>
      <c r="I43" s="2" t="n">
        <v>220</v>
      </c>
      <c r="J43" s="2" t="n">
        <v>222</v>
      </c>
      <c r="K43" s="2" t="n">
        <v>2</v>
      </c>
      <c r="L43" s="2" t="n">
        <v>0.00909090909090909</v>
      </c>
      <c r="M43" s="2" t="n">
        <v>234</v>
      </c>
      <c r="N43" s="2" t="inlineStr">
        <is>
          <t>2023:2g@66.0; 2024:4g@25.0; 2025:4g@46.2; 2026:1g@59.0</t>
        </is>
      </c>
      <c r="O43" s="2" t="n">
        <v>11</v>
      </c>
      <c r="P43" s="2" t="n">
        <v>4</v>
      </c>
      <c r="Q43" s="2" t="n">
        <v>66</v>
      </c>
      <c r="R43" s="2" t="n">
        <v>2023</v>
      </c>
      <c r="S43" s="2" t="n">
        <v>2023</v>
      </c>
      <c r="T43" s="2" t="n">
        <v>0</v>
      </c>
      <c r="U43" s="2" t="inlineStr">
        <is>
          <t>-</t>
        </is>
      </c>
      <c r="V43" s="2" t="n">
        <v>0</v>
      </c>
      <c r="W43" s="2" t="n">
        <v>669.29</v>
      </c>
      <c r="X43" s="2" t="n">
        <v>0.35057</v>
      </c>
      <c r="Y43" s="2" t="n">
        <v>1</v>
      </c>
      <c r="Z43" s="2" t="n">
        <v>1.1364</v>
      </c>
      <c r="AA43" s="2" t="n">
        <v>1.1364</v>
      </c>
      <c r="AB43" s="2" t="n">
        <v>0.205409</v>
      </c>
      <c r="AC43" s="2" t="n">
        <v>0.100953</v>
      </c>
      <c r="AD43" s="2" t="n">
        <v>0.01245</v>
      </c>
      <c r="AE43" s="2" t="n">
        <v>0.19754</v>
      </c>
      <c r="AF43" s="2" t="n">
        <v>0.518323</v>
      </c>
      <c r="AG43" s="2" t="n">
        <v>0.102389</v>
      </c>
      <c r="AH43" s="2" t="n">
        <v>167.99</v>
      </c>
      <c r="AI43" s="2" t="n">
        <v>234.63</v>
      </c>
      <c r="AJ43" s="2" t="n">
        <v>0.716</v>
      </c>
      <c r="AK43" s="2" t="n">
        <v>0.334096</v>
      </c>
      <c r="AL43" s="2" t="n">
        <v>0.7916069999999999</v>
      </c>
      <c r="AM43" s="2" t="n">
        <v>1.322363</v>
      </c>
      <c r="AN43" s="2" t="n">
        <v>1.448805</v>
      </c>
      <c r="AO43" s="2" t="n">
        <v>2.771168</v>
      </c>
      <c r="AP43" s="2" t="inlineStr">
        <is>
          <t>True</t>
        </is>
      </c>
    </row>
    <row r="44">
      <c r="A44" s="2" t="inlineStr">
        <is>
          <t>jayden-nguyen</t>
        </is>
      </c>
      <c r="B44" s="2" t="inlineStr">
        <is>
          <t>Jayden Nguyen</t>
        </is>
      </c>
      <c r="C44" s="2" t="inlineStr">
        <is>
          <t>SD</t>
        </is>
      </c>
      <c r="D44" s="2" t="inlineStr">
        <is>
          <t>PDN (pool, effpk 65)</t>
        </is>
      </c>
      <c r="E44" s="2" t="n">
        <v>65</v>
      </c>
      <c r="F44" s="2" t="n">
        <v>2024</v>
      </c>
      <c r="G44" s="2" t="inlineStr">
        <is>
          <t>PDN</t>
        </is>
      </c>
      <c r="H44" s="2" t="inlineStr">
        <is>
          <t>True</t>
        </is>
      </c>
      <c r="I44" s="2" t="n">
        <v>261</v>
      </c>
      <c r="J44" s="2" t="n">
        <v>259</v>
      </c>
      <c r="K44" s="2" t="n">
        <v>-2</v>
      </c>
      <c r="L44" s="2" t="n">
        <v>-0.007662835249042145</v>
      </c>
      <c r="M44" s="2" t="n">
        <v>273</v>
      </c>
      <c r="N44" s="2" t="inlineStr">
        <is>
          <t>2025:5g@39.2; 2026:5g@42.6</t>
        </is>
      </c>
      <c r="O44" s="2" t="n">
        <v>10</v>
      </c>
      <c r="P44" s="2" t="n">
        <v>5</v>
      </c>
      <c r="Q44" s="2" t="n">
        <v>42.6</v>
      </c>
      <c r="R44" s="2" t="n">
        <v>2025</v>
      </c>
      <c r="S44" s="2" t="n">
        <v>2025</v>
      </c>
      <c r="T44" s="2" t="n">
        <v>0</v>
      </c>
      <c r="U44" s="2" t="inlineStr">
        <is>
          <t>-</t>
        </is>
      </c>
      <c r="V44" s="2" t="n">
        <v>0</v>
      </c>
      <c r="W44" s="2" t="n">
        <v>129.45</v>
      </c>
      <c r="X44" s="2" t="n">
        <v>0.41609</v>
      </c>
      <c r="Y44" s="2" t="n">
        <v>5</v>
      </c>
      <c r="Z44" s="2" t="n">
        <v>5.6818</v>
      </c>
      <c r="AA44" s="2" t="n">
        <v>5.6818</v>
      </c>
      <c r="AB44" s="2" t="n">
        <v>0.941455</v>
      </c>
      <c r="AC44" s="2" t="n">
        <v>0.914802</v>
      </c>
      <c r="AD44" s="2" t="n">
        <v>0.90523</v>
      </c>
      <c r="AE44" s="2" t="n">
        <v>0.07231899999999999</v>
      </c>
      <c r="AF44" s="2" t="n">
        <v>0.662891</v>
      </c>
      <c r="AG44" s="2" t="n">
        <v>0.04794</v>
      </c>
      <c r="AH44" s="2" t="n">
        <v>293.49</v>
      </c>
      <c r="AI44" s="2" t="n">
        <v>53.86</v>
      </c>
      <c r="AJ44" s="2" t="n">
        <v>5.4491</v>
      </c>
      <c r="AK44" s="2" t="n">
        <v>1.695443</v>
      </c>
      <c r="AL44" s="2" t="n">
        <v>0.020568</v>
      </c>
      <c r="AM44" s="2" t="n">
        <v>0.174358</v>
      </c>
      <c r="AN44" s="2" t="n">
        <v>1.47603</v>
      </c>
      <c r="AO44" s="2" t="n">
        <v>1.650388</v>
      </c>
      <c r="AP44" s="2" t="inlineStr">
        <is>
          <t>True</t>
        </is>
      </c>
    </row>
    <row r="45">
      <c r="A45" s="2" t="inlineStr">
        <is>
          <t>daniel-annable</t>
        </is>
      </c>
      <c r="B45" s="2" t="inlineStr">
        <is>
          <t>Daniel Annable</t>
        </is>
      </c>
      <c r="C45" s="2" t="inlineStr">
        <is>
          <t>MID</t>
        </is>
      </c>
      <c r="D45" s="2" t="inlineStr">
        <is>
          <t>ND pick 6</t>
        </is>
      </c>
      <c r="E45" s="2" t="n">
        <v>6</v>
      </c>
      <c r="F45" s="2" t="n">
        <v>2025</v>
      </c>
      <c r="G45" s="2" t="inlineStr">
        <is>
          <t>ND</t>
        </is>
      </c>
      <c r="H45" s="2" t="inlineStr">
        <is>
          <t>False</t>
        </is>
      </c>
      <c r="I45" s="2" t="n">
        <v>1237</v>
      </c>
      <c r="J45" s="2" t="n">
        <v>1230</v>
      </c>
      <c r="K45" s="2" t="n">
        <v>-7</v>
      </c>
      <c r="L45" s="2" t="n">
        <v>-0.005658852061438965</v>
      </c>
      <c r="M45" s="2" t="n">
        <v>1294</v>
      </c>
      <c r="N45" s="2" t="inlineStr">
        <is>
          <t>2026:1g@40.0</t>
        </is>
      </c>
      <c r="O45" s="2" t="n">
        <v>1</v>
      </c>
      <c r="P45" s="2" t="n">
        <v>1</v>
      </c>
      <c r="Q45" s="2" t="n">
        <v>40</v>
      </c>
      <c r="R45" s="2" t="n">
        <v>2026</v>
      </c>
      <c r="S45" s="2" t="n">
        <v>2026</v>
      </c>
      <c r="T45" s="2" t="n">
        <v>0</v>
      </c>
      <c r="U45" s="2" t="inlineStr">
        <is>
          <t>-</t>
        </is>
      </c>
      <c r="V45" s="2" t="n">
        <v>0</v>
      </c>
      <c r="W45" s="2" t="n">
        <v>1981.31</v>
      </c>
      <c r="X45" s="2" t="n">
        <v>0.64796</v>
      </c>
      <c r="Y45" s="2" t="n">
        <v>1</v>
      </c>
      <c r="Z45" s="2" t="n">
        <v>1.1364</v>
      </c>
      <c r="AA45" s="2" t="n">
        <v>1.1364</v>
      </c>
      <c r="AB45" s="2" t="n">
        <v>0.205409</v>
      </c>
      <c r="AC45" s="2" t="n">
        <v>0.149888</v>
      </c>
      <c r="AD45" s="2" t="n">
        <v>0.082774</v>
      </c>
      <c r="AE45" s="2" t="n">
        <v>0.601814</v>
      </c>
      <c r="AF45" s="2" t="n">
        <v>1</v>
      </c>
      <c r="AG45" s="2" t="n">
        <v>0.601814</v>
      </c>
      <c r="AH45" s="2" t="n">
        <v>1411.45</v>
      </c>
      <c r="AI45" s="2" t="n">
        <v>1283.81</v>
      </c>
      <c r="AJ45" s="2" t="n">
        <v>1.0994</v>
      </c>
      <c r="AK45" s="2" t="n">
        <v>0.09478200000000001</v>
      </c>
      <c r="AL45" s="2" t="n">
        <v>0.7916069999999999</v>
      </c>
      <c r="AM45" s="2" t="n">
        <v>0.37515</v>
      </c>
      <c r="AN45" s="2" t="n">
        <v>1.199093</v>
      </c>
      <c r="AO45" s="2" t="n">
        <v>1.574243</v>
      </c>
      <c r="AP45" s="2" t="inlineStr">
        <is>
          <t>True</t>
        </is>
      </c>
    </row>
    <row r="46">
      <c r="A46" s="2" t="inlineStr">
        <is>
          <t>thomas-burton</t>
        </is>
      </c>
      <c r="B46" s="2" t="inlineStr">
        <is>
          <t>Thomas Burton</t>
        </is>
      </c>
      <c r="C46" s="2" t="inlineStr">
        <is>
          <t>SF</t>
        </is>
      </c>
      <c r="D46" s="2" t="inlineStr">
        <is>
          <t>SSP (pool, effpk 65)</t>
        </is>
      </c>
      <c r="E46" s="2" t="n">
        <v>65</v>
      </c>
      <c r="F46" s="2" t="n">
        <v>2025</v>
      </c>
      <c r="G46" s="2" t="inlineStr">
        <is>
          <t>SSP</t>
        </is>
      </c>
      <c r="H46" s="2" t="inlineStr">
        <is>
          <t>True</t>
        </is>
      </c>
      <c r="I46" s="2" t="n">
        <v>268</v>
      </c>
      <c r="J46" s="2" t="n">
        <v>267</v>
      </c>
      <c r="K46" s="2" t="n">
        <v>-1</v>
      </c>
      <c r="L46" s="2" t="n">
        <v>-0.003731343283582089</v>
      </c>
      <c r="M46" s="2" t="n">
        <v>281</v>
      </c>
      <c r="N46" s="2" t="inlineStr">
        <is>
          <t>2026:5g@39.4</t>
        </is>
      </c>
      <c r="O46" s="2" t="n">
        <v>5</v>
      </c>
      <c r="P46" s="2" t="n">
        <v>5</v>
      </c>
      <c r="Q46" s="2" t="n">
        <v>39.4</v>
      </c>
      <c r="R46" s="2" t="n">
        <v>2026</v>
      </c>
      <c r="S46" s="2" t="n">
        <v>2026</v>
      </c>
      <c r="T46" s="2" t="n">
        <v>0</v>
      </c>
      <c r="U46" s="2" t="inlineStr">
        <is>
          <t>-</t>
        </is>
      </c>
      <c r="V46" s="2" t="n">
        <v>0</v>
      </c>
      <c r="W46" s="2" t="n">
        <v>265.2</v>
      </c>
      <c r="X46" s="2" t="n">
        <v>0.62769</v>
      </c>
      <c r="Y46" s="2" t="n">
        <v>5</v>
      </c>
      <c r="Z46" s="2" t="n">
        <v>5.6818</v>
      </c>
      <c r="AA46" s="2" t="n">
        <v>5.6818</v>
      </c>
      <c r="AB46" s="2" t="n">
        <v>0.941455</v>
      </c>
      <c r="AC46" s="2" t="n">
        <v>0.915475</v>
      </c>
      <c r="AD46" s="2" t="n">
        <v>0.912195</v>
      </c>
      <c r="AE46" s="2" t="n">
        <v>0.07231899999999999</v>
      </c>
      <c r="AF46" s="2" t="n">
        <v>1</v>
      </c>
      <c r="AG46" s="2" t="n">
        <v>0.07231899999999999</v>
      </c>
      <c r="AH46" s="2" t="n">
        <v>296.89</v>
      </c>
      <c r="AI46" s="2" t="n">
        <v>166.47</v>
      </c>
      <c r="AJ46" s="2" t="n">
        <v>1.7835</v>
      </c>
      <c r="AK46" s="2" t="n">
        <v>0.578577</v>
      </c>
      <c r="AL46" s="2" t="n">
        <v>0.020568</v>
      </c>
      <c r="AM46" s="2" t="n">
        <v>0.0595</v>
      </c>
      <c r="AN46" s="2" t="n">
        <v>1.46384</v>
      </c>
      <c r="AO46" s="2" t="n">
        <v>1.523341</v>
      </c>
      <c r="AP46" s="2" t="inlineStr">
        <is>
          <t>True</t>
        </is>
      </c>
    </row>
    <row r="47">
      <c r="A47" s="2" t="inlineStr">
        <is>
          <t>dylan-patterson</t>
        </is>
      </c>
      <c r="B47" s="2" t="inlineStr">
        <is>
          <t>Dylan Patterson</t>
        </is>
      </c>
      <c r="C47" s="2" t="inlineStr">
        <is>
          <t>SD</t>
        </is>
      </c>
      <c r="D47" s="2" t="inlineStr">
        <is>
          <t>ND pick 5</t>
        </is>
      </c>
      <c r="E47" s="2" t="n">
        <v>5</v>
      </c>
      <c r="F47" s="2" t="n">
        <v>2025</v>
      </c>
      <c r="G47" s="2" t="inlineStr">
        <is>
          <t>ND</t>
        </is>
      </c>
      <c r="H47" s="2" t="inlineStr">
        <is>
          <t>False</t>
        </is>
      </c>
      <c r="I47" s="2" t="n">
        <v>1422</v>
      </c>
      <c r="J47" s="2" t="n">
        <v>1419</v>
      </c>
      <c r="K47" s="2" t="n">
        <v>-3</v>
      </c>
      <c r="L47" s="2" t="n">
        <v>-0.002109704641350211</v>
      </c>
      <c r="M47" s="2" t="n">
        <v>1493</v>
      </c>
      <c r="N47" s="2" t="inlineStr">
        <is>
          <t>2026:5g@35.6</t>
        </is>
      </c>
      <c r="O47" s="2" t="n">
        <v>5</v>
      </c>
      <c r="P47" s="2" t="n">
        <v>5</v>
      </c>
      <c r="Q47" s="2" t="n">
        <v>35.6</v>
      </c>
      <c r="R47" s="2" t="n">
        <v>2026</v>
      </c>
      <c r="S47" s="2" t="n">
        <v>2026</v>
      </c>
      <c r="T47" s="2" t="n">
        <v>0</v>
      </c>
      <c r="U47" s="2" t="inlineStr">
        <is>
          <t>-</t>
        </is>
      </c>
      <c r="V47" s="2" t="n">
        <v>0</v>
      </c>
      <c r="W47" s="2" t="n">
        <v>1189.99</v>
      </c>
      <c r="X47" s="2" t="n">
        <v>0.62604</v>
      </c>
      <c r="Y47" s="2" t="n">
        <v>5</v>
      </c>
      <c r="Z47" s="2" t="n">
        <v>5.6818</v>
      </c>
      <c r="AA47" s="2" t="n">
        <v>5.6818</v>
      </c>
      <c r="AB47" s="2" t="n">
        <v>0.941455</v>
      </c>
      <c r="AC47" s="2" t="n">
        <v>0.931352</v>
      </c>
      <c r="AD47" s="2" t="n">
        <v>0.927098</v>
      </c>
      <c r="AE47" s="2" t="n">
        <v>0.642332</v>
      </c>
      <c r="AF47" s="2" t="n">
        <v>1</v>
      </c>
      <c r="AG47" s="2" t="n">
        <v>0.642332</v>
      </c>
      <c r="AH47" s="2" t="n">
        <v>1558.1</v>
      </c>
      <c r="AI47" s="2" t="n">
        <v>744.99</v>
      </c>
      <c r="AJ47" s="2" t="n">
        <v>2.0915</v>
      </c>
      <c r="AK47" s="2" t="n">
        <v>0.737859</v>
      </c>
      <c r="AL47" s="2" t="n">
        <v>0.020568</v>
      </c>
      <c r="AM47" s="2" t="n">
        <v>0.075881</v>
      </c>
      <c r="AN47" s="2" t="n">
        <v>1.178834</v>
      </c>
      <c r="AO47" s="2" t="n">
        <v>1.254715</v>
      </c>
      <c r="AP47" s="2" t="inlineStr">
        <is>
          <t>True</t>
        </is>
      </c>
    </row>
    <row r="48">
      <c r="A48" s="2" t="inlineStr">
        <is>
          <t>jack-ough</t>
        </is>
      </c>
      <c r="B48" s="2" t="inlineStr">
        <is>
          <t>Jack Ough</t>
        </is>
      </c>
      <c r="C48" s="2" t="inlineStr">
        <is>
          <t>MID</t>
        </is>
      </c>
      <c r="D48" s="2" t="inlineStr">
        <is>
          <t>ND pick 36</t>
        </is>
      </c>
      <c r="E48" s="2" t="n">
        <v>36</v>
      </c>
      <c r="F48" s="2" t="n">
        <v>2024</v>
      </c>
      <c r="G48" s="2" t="inlineStr">
        <is>
          <t>ND</t>
        </is>
      </c>
      <c r="H48" s="2" t="inlineStr">
        <is>
          <t>False</t>
        </is>
      </c>
      <c r="I48" s="2" t="n">
        <v>498</v>
      </c>
      <c r="J48" s="2" t="n">
        <v>497</v>
      </c>
      <c r="K48" s="2" t="n">
        <v>-1</v>
      </c>
      <c r="L48" s="2" t="n">
        <v>-0.002008032128514056</v>
      </c>
      <c r="M48" s="2" t="n">
        <v>523</v>
      </c>
      <c r="N48" s="2" t="inlineStr">
        <is>
          <t>2026:5g@46.0</t>
        </is>
      </c>
      <c r="O48" s="2" t="n">
        <v>5</v>
      </c>
      <c r="P48" s="2" t="n">
        <v>5</v>
      </c>
      <c r="Q48" s="2" t="n">
        <v>46</v>
      </c>
      <c r="R48" s="2" t="n">
        <v>2025</v>
      </c>
      <c r="S48" s="2" t="n">
        <v>2026</v>
      </c>
      <c r="T48" s="2" t="n">
        <v>1</v>
      </c>
      <c r="U48" s="2" t="n">
        <v>2025</v>
      </c>
      <c r="V48" s="2" t="n">
        <v>1</v>
      </c>
      <c r="W48" s="2" t="n">
        <v>686.79</v>
      </c>
      <c r="X48" s="2" t="n">
        <v>0.4528</v>
      </c>
      <c r="Y48" s="2" t="n">
        <v>5</v>
      </c>
      <c r="Z48" s="2" t="n">
        <v>5.6818</v>
      </c>
      <c r="AA48" s="2" t="n">
        <v>5.6818</v>
      </c>
      <c r="AB48" s="2" t="n">
        <v>0.941455</v>
      </c>
      <c r="AC48" s="2" t="n">
        <v>0.91722</v>
      </c>
      <c r="AD48" s="2" t="n">
        <v>0.913903</v>
      </c>
      <c r="AE48" s="2" t="n">
        <v>0.203629</v>
      </c>
      <c r="AF48" s="2" t="n">
        <v>0.665112</v>
      </c>
      <c r="AG48" s="2" t="n">
        <v>0.135436</v>
      </c>
      <c r="AH48" s="2" t="n">
        <v>557.54</v>
      </c>
      <c r="AI48" s="2" t="n">
        <v>310.97</v>
      </c>
      <c r="AJ48" s="2" t="n">
        <v>1.7929</v>
      </c>
      <c r="AK48" s="2" t="n">
        <v>0.583827</v>
      </c>
      <c r="AL48" s="2" t="n">
        <v>0.020568</v>
      </c>
      <c r="AM48" s="2" t="n">
        <v>0.06004</v>
      </c>
      <c r="AN48" s="2" t="n">
        <v>1.432282</v>
      </c>
      <c r="AO48" s="2" t="n">
        <v>1.492322</v>
      </c>
      <c r="AP48" s="2" t="inlineStr">
        <is>
          <t>True</t>
        </is>
      </c>
    </row>
    <row r="49">
      <c r="A49" s="2" t="inlineStr">
        <is>
          <t>samuel-swadling</t>
        </is>
      </c>
      <c r="B49" s="2" t="inlineStr">
        <is>
          <t>Samuel Swadling</t>
        </is>
      </c>
      <c r="C49" s="2" t="inlineStr">
        <is>
          <t>MID</t>
        </is>
      </c>
      <c r="D49" s="2" t="inlineStr">
        <is>
          <t>ND pick 37</t>
        </is>
      </c>
      <c r="E49" s="2" t="n">
        <v>37</v>
      </c>
      <c r="F49" s="2" t="n">
        <v>2025</v>
      </c>
      <c r="G49" s="2" t="inlineStr">
        <is>
          <t>ND</t>
        </is>
      </c>
      <c r="H49" s="2" t="inlineStr">
        <is>
          <t>False</t>
        </is>
      </c>
      <c r="I49" s="2" t="n">
        <v>638</v>
      </c>
      <c r="J49" s="2" t="n">
        <v>637</v>
      </c>
      <c r="K49" s="2" t="n">
        <v>-1</v>
      </c>
      <c r="L49" s="2" t="n">
        <v>-0.001567398119122257</v>
      </c>
      <c r="M49" s="2" t="n">
        <v>670</v>
      </c>
      <c r="N49" s="2" t="inlineStr">
        <is>
          <t>2026:5g@59.0</t>
        </is>
      </c>
      <c r="O49" s="2" t="n">
        <v>5</v>
      </c>
      <c r="P49" s="2" t="n">
        <v>5</v>
      </c>
      <c r="Q49" s="2" t="n">
        <v>59</v>
      </c>
      <c r="R49" s="2" t="n">
        <v>2026</v>
      </c>
      <c r="S49" s="2" t="n">
        <v>2026</v>
      </c>
      <c r="T49" s="2" t="n">
        <v>0</v>
      </c>
      <c r="U49" s="2" t="inlineStr">
        <is>
          <t>-</t>
        </is>
      </c>
      <c r="V49" s="2" t="n">
        <v>0</v>
      </c>
      <c r="W49" s="2" t="n">
        <v>669.29</v>
      </c>
      <c r="X49" s="2" t="n">
        <v>0.67635</v>
      </c>
      <c r="Y49" s="2" t="n">
        <v>5</v>
      </c>
      <c r="Z49" s="2" t="n">
        <v>5.6818</v>
      </c>
      <c r="AA49" s="2" t="n">
        <v>5.6818</v>
      </c>
      <c r="AB49" s="2" t="n">
        <v>0.941455</v>
      </c>
      <c r="AC49" s="2" t="n">
        <v>0.918939</v>
      </c>
      <c r="AD49" s="2" t="n">
        <v>0.916494</v>
      </c>
      <c r="AE49" s="2" t="n">
        <v>0.19754</v>
      </c>
      <c r="AF49" s="2" t="n">
        <v>1</v>
      </c>
      <c r="AG49" s="2" t="n">
        <v>0.19754</v>
      </c>
      <c r="AH49" s="2" t="n">
        <v>695.5599999999999</v>
      </c>
      <c r="AI49" s="2" t="n">
        <v>452.67</v>
      </c>
      <c r="AJ49" s="2" t="n">
        <v>1.5366</v>
      </c>
      <c r="AK49" s="2" t="n">
        <v>0.429541</v>
      </c>
      <c r="AL49" s="2" t="n">
        <v>0.020568</v>
      </c>
      <c r="AM49" s="2" t="n">
        <v>0.044174</v>
      </c>
      <c r="AN49" s="2" t="n">
        <v>1.40123</v>
      </c>
      <c r="AO49" s="2" t="n">
        <v>1.445404</v>
      </c>
      <c r="AP49" s="2" t="inlineStr">
        <is>
          <t>True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cols>
    <col width="5" customWidth="1" min="1" max="1"/>
    <col width="132" customWidth="1" min="2" max="2"/>
  </cols>
  <sheetData>
    <row r="1">
      <c r="A1" s="7" t="inlineStr"/>
      <c r="B1" s="7" t="inlineStr">
        <is>
          <t>READ ME — what each sheet is, and how to read the columns</t>
        </is>
      </c>
    </row>
    <row r="2">
      <c r="A2" s="7" t="inlineStr"/>
      <c r="B2" s="2" t="inlineStr"/>
    </row>
    <row r="3">
      <c r="A3" s="7" t="inlineStr">
        <is>
          <t>1.</t>
        </is>
      </c>
      <c r="B3" s="2" t="inlineStr">
        <is>
          <t>This workbook is the owner review set for act #334 stage B. It puts the ADOPTED board next to the board this act produces.</t>
        </is>
      </c>
    </row>
    <row r="4">
      <c r="A4" s="7" t="inlineStr"/>
      <c r="B4" s="2" t="inlineStr">
        <is>
          <t>OLD = the shipped board 113b36f8 (commit f8fe8361, on main today). NEW = the final board b56bbdde on branch landing/334-stage-b.</t>
        </is>
      </c>
    </row>
    <row r="5">
      <c r="A5" s="7" t="inlineStr"/>
      <c r="B5" s="2" t="inlineStr">
        <is>
          <t>Nothing here is adopted. Adoption is the owner's word. No PR, no tag, no main merge.</t>
        </is>
      </c>
    </row>
    <row r="6">
      <c r="A6" s="7" t="inlineStr"/>
      <c r="B6" s="2" t="inlineStr"/>
    </row>
    <row r="7">
      <c r="A7" s="7" t="inlineStr">
        <is>
          <t>2.</t>
        </is>
      </c>
      <c r="B7" s="2" t="inlineStr">
        <is>
          <t>SIX stages of the act are represented; FIVE of them moved the board, and each has its own delta column on the players sheet:</t>
        </is>
      </c>
    </row>
    <row r="8">
      <c r="A8" s="7" t="inlineStr"/>
      <c r="B8" s="2" t="inlineStr">
        <is>
          <t xml:space="preserve">   Δ reference layer          de5110bb − 113b36f8   the adopted #336 reference layer</t>
        </is>
      </c>
    </row>
    <row r="9">
      <c r="A9" s="7" t="inlineStr"/>
      <c r="B9" s="2" t="inlineStr">
        <is>
          <t xml:space="preserve">   Δ era removal              f94e0778 − de5110bb   era normalization stripped (owner ruling)</t>
        </is>
      </c>
    </row>
    <row r="10">
      <c r="A10" s="7" t="inlineStr"/>
      <c r="B10" s="2" t="inlineStr">
        <is>
          <t xml:space="preserve">   Δ curve+surface+numéraire  6c9f8d3a − f94e0778   base curve re-teach, per-pick re-anchor, year-zero surface refit, numéraire re-base</t>
        </is>
      </c>
    </row>
    <row r="11">
      <c r="A11" s="7" t="inlineStr"/>
      <c r="B11" s="2" t="inlineStr">
        <is>
          <t xml:space="preserve">   Δ reactivity               b490ae8b − 6c9f8d3a   stage 4, the pedigree-conditioned evidence bar (RL_PED_BAR = 0.5)</t>
        </is>
      </c>
    </row>
    <row r="12">
      <c r="A12" s="7" t="inlineStr"/>
      <c r="B12" s="2" t="inlineStr">
        <is>
          <t xml:space="preserve">   Δ surprise-trust           b56bbdde − b490ae8b   stage 4 AMENDMENT 1, the surprise-scaled evidence trust (RL_SUR_W = 5.0)</t>
        </is>
      </c>
    </row>
    <row r="13">
      <c r="A13" s="7" t="inlineStr"/>
      <c r="B13" s="2" t="inlineStr">
        <is>
          <t>The five delta columns SUM EXACTLY to "abs Δ (NEW − OLD)" on every row. Column Q carries that identity as a live formula:</t>
        </is>
      </c>
    </row>
    <row r="14">
      <c r="A14" s="7" t="inlineStr"/>
      <c r="B14" s="2" t="inlineStr">
        <is>
          <t>it must read 0 on all 804 rows. It was also asserted in Python at build time and passed on 804/804.</t>
        </is>
      </c>
    </row>
    <row r="15">
      <c r="A15" s="7" t="inlineStr"/>
      <c r="B15" s="2" t="inlineStr"/>
    </row>
    <row r="16">
      <c r="A16" s="7" t="inlineStr">
        <is>
          <t>3.</t>
        </is>
      </c>
      <c r="B16" s="2" t="inlineStr">
        <is>
          <t>THE NUMÉRAIRE NOTE — read this before reading any single-player change as a real move.</t>
        </is>
      </c>
    </row>
    <row r="17">
      <c r="A17" s="7" t="inlineStr"/>
      <c r="B17" s="2" t="inlineStr">
        <is>
          <t>Stage 3 re-based the display currency by a single uniform factor of ×0.891738 applied to every player alike. It changes the</t>
        </is>
      </c>
    </row>
    <row r="18">
      <c r="A18" s="7" t="inlineStr"/>
      <c r="B18" s="2" t="inlineStr">
        <is>
          <t>printed number and NOTHING about relativities. Pick 1 stays pinned at 3,000 on both boards. The plain "% Δ (of OLD)" column</t>
        </is>
      </c>
    </row>
    <row r="19">
      <c r="A19" s="7" t="inlineStr"/>
      <c r="B19" s="2" t="inlineStr">
        <is>
          <t>therefore shows a ~−10.8% shift that applies to everybody and means nothing about anybody. Column K, "% change beyond the</t>
        </is>
      </c>
    </row>
    <row r="20">
      <c r="A20" s="7" t="inlineStr"/>
      <c r="B20" s="2" t="inlineStr">
        <is>
          <t>currency re-base", compares NEW against OLD × 0.891738 and IS the honest measure of real movement. The amendment does not</t>
        </is>
      </c>
    </row>
    <row r="21">
      <c r="A21" s="7" t="inlineStr"/>
      <c r="B21" s="2" t="inlineStr">
        <is>
          <t>touch the numéraire, so the same factor still applies.</t>
        </is>
      </c>
    </row>
    <row r="22">
      <c r="A22" s="7" t="inlineStr"/>
      <c r="B22" s="2" t="inlineStr"/>
    </row>
    <row r="23">
      <c r="A23" s="7" t="inlineStr">
        <is>
          <t>4.</t>
        </is>
      </c>
      <c r="B23" s="2" t="inlineStr">
        <is>
          <t>"reactivity movers" lists every player stage 4 moved (51). "surprise movers" lists every player this amendment moved (45).</t>
        </is>
      </c>
    </row>
    <row r="24">
      <c r="A24" s="7" t="inlineStr"/>
      <c r="B24" s="2" t="inlineStr">
        <is>
          <t>Both are verbatim exports of the enumeration CSVs, uncapped. On the surprise sheet: e_full is the demonstrated-production</t>
        </is>
      </c>
    </row>
    <row r="25">
      <c r="A25" s="7" t="inlineStr"/>
      <c r="B25" s="2" t="inlineStr">
        <is>
          <t>price, anchor_full is the prior-implied price (R × entry_anchor), s = |log(e_full/anchor_full)| is the size of the re-rate the</t>
        </is>
      </c>
    </row>
    <row r="26">
      <c r="A26" s="7" t="inlineStr"/>
      <c r="B26" s="2" t="inlineStr">
        <is>
          <t>record claims, and u is the share of that record still unresolved. The shrink is SUR_W × s × u extra passes of the evidence ramp.</t>
        </is>
      </c>
    </row>
    <row r="27">
      <c r="A27" s="7" t="inlineStr"/>
      <c r="B27" s="2" t="inlineStr"/>
    </row>
    <row r="28">
      <c r="A28" s="7" t="inlineStr">
        <is>
          <t>5.</t>
        </is>
      </c>
      <c r="B28" s="2" t="inlineStr">
        <is>
          <t>BOTH movers lists contain UP-MOVERS, and they are named rather than hidden. The evidence bar is SYMMETRIC in the sign of the</t>
        </is>
      </c>
    </row>
    <row r="29">
      <c r="A29" s="7" t="inlineStr"/>
      <c r="B29" s="2" t="inlineStr">
        <is>
          <t>surprise by owner law (L-SYMMETRY, register item 108): a thin record BELOW its anchor is the same small sample as one above it,</t>
        </is>
      </c>
    </row>
    <row r="30">
      <c r="A30" s="7" t="inlineStr"/>
      <c r="B30" s="2" t="inlineStr">
        <is>
          <t>so a player whose few games went badly is likewise held nearer his anchor and his price RISES. A one-sided rule would be a</t>
        </is>
      </c>
    </row>
    <row r="31">
      <c r="A31" s="7" t="inlineStr"/>
      <c r="B31" s="2" t="inlineStr">
        <is>
          <t>branch and is refused under L-SMOOTH. If the mechanism is accepted, the up-movers come with it.</t>
        </is>
      </c>
    </row>
    <row r="32">
      <c r="A32" s="7" t="inlineStr"/>
      <c r="B32" s="2" t="inlineStr"/>
    </row>
    <row r="33">
      <c r="A33" s="7" t="inlineStr">
        <is>
          <t>6.</t>
        </is>
      </c>
      <c r="B33" s="2" t="inlineStr">
        <is>
          <t>The "picks" sheet is the pick ladder, shipped vs final. Column F shows the amendment's own effect on it: ZERO at every pick.</t>
        </is>
      </c>
    </row>
    <row r="34">
      <c r="A34" s="7" t="inlineStr"/>
      <c r="B34" s="2" t="inlineStr">
        <is>
          <t>The settled ladder (engine/rl_after/pvc_curve_v2.json, payload 18203822, pick 1 = 3,000) is untouched by stage 4 and by this</t>
        </is>
      </c>
    </row>
    <row r="35">
      <c r="A35" s="7" t="inlineStr"/>
      <c r="B35" s="2" t="inlineStr">
        <is>
          <t>amendment, so either dial can be re-ruled without re-deriving any curve.</t>
        </is>
      </c>
    </row>
    <row r="36">
      <c r="A36" s="7" t="inlineStr"/>
      <c r="B36" s="2" t="inlineStr"/>
    </row>
    <row r="37">
      <c r="A37" s="7" t="inlineStr">
        <is>
          <t>7.</t>
        </is>
      </c>
      <c r="B37" s="2" t="inlineStr">
        <is>
          <t>Board values are DISPLAY BOARD VALUES in VOR board points, denominated so that national-draft pick 1 = 3,000.</t>
        </is>
      </c>
    </row>
    <row r="38">
      <c r="A38" s="7" t="inlineStr"/>
      <c r="B38" s="2" t="inlineStr">
        <is>
          <t>Source file at each stage: data/rl_build/rl_app_data.json at commits f8fe8361 / ad50dad / f7ae027 / c0ea507 / 44950de, and</t>
        </is>
      </c>
    </row>
    <row r="39">
      <c r="A39" s="7" t="inlineStr"/>
      <c r="B39" s="2" t="inlineStr">
        <is>
          <t>the working final board b56bbdde. All six carry the same 804 keys — no adds, no drops. Store 37ced3ce, unchanged throughout.</t>
        </is>
      </c>
    </row>
    <row r="40">
      <c r="A40" s="7" t="inlineStr"/>
      <c r="B40" s="2" t="inlineStr"/>
    </row>
    <row r="41">
      <c r="A41" s="7" t="inlineStr">
        <is>
          <t>8.</t>
        </is>
      </c>
      <c r="B41" s="2" t="inlineStr">
        <is>
          <t>FORMULA VERIFICATION. Columns I, J, K and Q on "players" and D, E on "picks" are live formulas, and they ship without cached</t>
        </is>
      </c>
    </row>
    <row r="42">
      <c r="A42" s="7" t="inlineStr"/>
      <c r="B42" s="2" t="inlineStr">
        <is>
          <t>values — exactly as the workbook this one replaces did. LibreOffice is non-functional in the build sandbox (it cannot load even a</t>
        </is>
      </c>
    </row>
    <row r="43">
      <c r="A43" s="7" t="inlineStr"/>
      <c r="B43" s="2" t="inlineStr">
        <is>
          <t>one-cell workbook), so the usual recalculate-and-check pass could not be run. Every formula was instead verified INDEPENDENTLY in</t>
        </is>
      </c>
    </row>
    <row r="44">
      <c r="A44" s="7" t="inlineStr"/>
      <c r="B44" s="2" t="inlineStr">
        <is>
          <t>Python: each was matched against its intended pattern and then evaluated from the sheet's own literal cells and asserted against</t>
        </is>
      </c>
    </row>
    <row r="45">
      <c r="A45" s="7" t="inlineStr"/>
      <c r="B45" s="2" t="inlineStr">
        <is>
          <t>the value recomputed from the six board JSONs. 3,344 formulas checked, 0 discrepancies. Excel and LibreOffice both evaluate on open.</t>
        </is>
      </c>
    </row>
    <row r="46">
      <c r="A46" s="7" t="inlineStr"/>
      <c r="B46" s="2" t="inlineStr">
        <is>
          <t>The verifier is filed beside the evidence as stage4_amend1/verify_xlsx.py and can be re-run against this file at any time.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2026-08-07T06:09:46Z</dcterms:created>
  <dcterms:modified xsi:type="dcterms:W3CDTF">2026-08-07T06:09:47Z</dcterms:modified>
</cp:coreProperties>
</file>